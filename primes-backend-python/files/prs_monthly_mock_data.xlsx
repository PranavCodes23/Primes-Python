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nthly Data" sheetId="1" state="visible" r:id="rId3"/>
    <sheet name="Zone Annual Summary" sheetId="2" state="visible" r:id="rId4"/>
  </sheets>
  <definedNames>
    <definedName function="false" hidden="true" localSheetId="0" name="_xlnm._FilterDatabase" vbProcedure="false">'Monthly Data'!$A$1:$L$229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<sst xmlns="http://schemas.openxmlformats.org/spreadsheetml/2006/main" count="744" uniqueCount="63">
  <si>
    <t xml:space="preserve">Zone Code</t>
  </si>
  <si>
    <t xml:space="preserve">Zone Name</t>
  </si>
  <si>
    <t xml:space="preserve">Year</t>
  </si>
  <si>
    <t xml:space="preserve">Month #</t>
  </si>
  <si>
    <t xml:space="preserve">Month</t>
  </si>
  <si>
    <t xml:space="preserve">Tickets Booked</t>
  </si>
  <si>
    <t xml:space="preserve">Tickets Cancelled</t>
  </si>
  <si>
    <t xml:space="preserve">Passengers Booked</t>
  </si>
  <si>
    <t xml:space="preserve">Passengers Cancelled</t>
  </si>
  <si>
    <t xml:space="preserve">Earning (INR)</t>
  </si>
  <si>
    <t xml:space="preserve">Refund (INR)</t>
  </si>
  <si>
    <t xml:space="preserve">Net (INR)</t>
  </si>
  <si>
    <t xml:space="preserve">ALL</t>
  </si>
  <si>
    <t xml:space="preserve">All India</t>
  </si>
  <si>
    <t xml:space="preserve">January</t>
  </si>
  <si>
    <t xml:space="preserve">CR</t>
  </si>
  <si>
    <t xml:space="preserve">Central Railway</t>
  </si>
  <si>
    <t xml:space="preserve">EC</t>
  </si>
  <si>
    <t xml:space="preserve">East Central Railway</t>
  </si>
  <si>
    <t xml:space="preserve">EO</t>
  </si>
  <si>
    <t xml:space="preserve">East Coast Railway</t>
  </si>
  <si>
    <t xml:space="preserve">ER</t>
  </si>
  <si>
    <t xml:space="preserve">Eastern Railway</t>
  </si>
  <si>
    <t xml:space="preserve">INTERNET</t>
  </si>
  <si>
    <t xml:space="preserve">Internet / Online Booking</t>
  </si>
  <si>
    <t xml:space="preserve">KR</t>
  </si>
  <si>
    <t xml:space="preserve">Konkan Railway</t>
  </si>
  <si>
    <t xml:space="preserve">NC</t>
  </si>
  <si>
    <t xml:space="preserve">North Central Railway</t>
  </si>
  <si>
    <t xml:space="preserve">NE</t>
  </si>
  <si>
    <t xml:space="preserve">North Eastern Railway</t>
  </si>
  <si>
    <t xml:space="preserve">NF</t>
  </si>
  <si>
    <t xml:space="preserve">Northeast Frontier Railway</t>
  </si>
  <si>
    <t xml:space="preserve">NR</t>
  </si>
  <si>
    <t xml:space="preserve">Northern Railway</t>
  </si>
  <si>
    <t xml:space="preserve">NW</t>
  </si>
  <si>
    <t xml:space="preserve">North Western Railway</t>
  </si>
  <si>
    <t xml:space="preserve">SB</t>
  </si>
  <si>
    <t xml:space="preserve">South East Central Railway</t>
  </si>
  <si>
    <t xml:space="preserve">SC</t>
  </si>
  <si>
    <t xml:space="preserve">South Central Railway</t>
  </si>
  <si>
    <t xml:space="preserve">SE</t>
  </si>
  <si>
    <t xml:space="preserve">South Eastern Railway</t>
  </si>
  <si>
    <t xml:space="preserve">SR</t>
  </si>
  <si>
    <t xml:space="preserve">Southern Railway</t>
  </si>
  <si>
    <t xml:space="preserve">SW</t>
  </si>
  <si>
    <t xml:space="preserve">South Western Railway</t>
  </si>
  <si>
    <t xml:space="preserve">WC</t>
  </si>
  <si>
    <t xml:space="preserve">West Central Railway</t>
  </si>
  <si>
    <t xml:space="preserve">WR</t>
  </si>
  <si>
    <t xml:space="preserve">Western Railway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</si>
  <si>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</si>
  <si>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</si>
  <si>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</si>
  <si>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</si>
  <si>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</si>
  <si>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</si>
  <si>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</si>
  <si>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</si>
  <si>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</si>
  <si>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</si>
  <si>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</si>
  <si>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Note: This is synthetic/mock monthly data generated from the annual PRS totals supplied in Sample_Data_for_Upload.xlsx. Monthly splits use an assumed seasonal weighting (higher in Apr-Jun &amp; Oct-Dec, lower in Jul-Aug) plus randomised jitter, and are NOT real PRS figures. Zone code 'SB' is assumed to represent South East Central Railway (SECR). 'ALL' rows are the summed rollup across all zones incl. INTERNET.</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</si>
</sst>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color rgb="FF80808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8"/>
    <col collapsed="false" customWidth="true" hidden="false" outlineLevel="0" max="4" min="4" style="0" width="9"/>
    <col collapsed="false" customWidth="true" hidden="false" outlineLevel="0" max="5" min="5" style="0" width="10"/>
    <col collapsed="false" customWidth="true" hidden="false" outlineLevel="0" max="6" min="6" style="0" width="15"/>
    <col collapsed="false" customWidth="true" hidden="false" outlineLevel="0" max="8" min="7" style="0" width="17"/>
    <col collapsed="false" customWidth="true" hidden="false" outlineLevel="0" max="9" min="9" style="0" width="19"/>
    <col collapsed="false" customWidth="true" hidden="false" outlineLevel="0" max="10" min="10" style="0" width="16"/>
    <col collapsed="false" customWidth="true" hidden="false" outlineLevel="0" max="11" min="11" style="0" width="15"/>
    <col collapsed="false" customWidth="true" hidden="false" outlineLevel="0" max="12" min="12" style="0" width="1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t="s">
        <v>13</v>
      </c>
      <c r="C2" s="2" t="n">
        <v>2025</v>
      </c>
      <c r="D2" s="2" t="n">
        <v>1</v>
      </c>
      <c r="E2" s="2" t="s">
        <v>14</v>
      </c>
      <c r="F2" s="3" t="n">
        <v>164926</v>
      </c>
      <c r="G2" s="3" t="n">
        <v>32199</v>
      </c>
      <c r="H2" s="3" t="n">
        <v>253335</v>
      </c>
      <c r="I2" s="3" t="n">
        <v>52006</v>
      </c>
      <c r="J2" s="3" t="n">
        <v>214384633</v>
      </c>
      <c r="K2" s="3" t="n">
        <v>37409756</v>
      </c>
      <c r="L2" s="3" t="n">
        <f aca="false">J2-K2</f>
        <v>176974877</v>
      </c>
    </row>
    <row r="3" customFormat="false" ht="15" hidden="false" customHeight="false" outlineLevel="0" collapsed="false">
      <c r="A3" s="2" t="s">
        <v>15</v>
      </c>
      <c r="B3" s="2" t="s">
        <v>16</v>
      </c>
      <c r="C3" s="2" t="n">
        <v>2025</v>
      </c>
      <c r="D3" s="2" t="n">
        <v>1</v>
      </c>
      <c r="E3" s="2" t="s">
        <v>14</v>
      </c>
      <c r="F3" s="3" t="n">
        <v>1446</v>
      </c>
      <c r="G3" s="3" t="n">
        <v>252</v>
      </c>
      <c r="H3" s="3" t="n">
        <v>3067</v>
      </c>
      <c r="I3" s="3" t="n">
        <v>435</v>
      </c>
      <c r="J3" s="3" t="n">
        <v>1669119</v>
      </c>
      <c r="K3" s="3" t="n">
        <v>392089</v>
      </c>
      <c r="L3" s="3" t="n">
        <f aca="false">J3-K3</f>
        <v>1277030</v>
      </c>
    </row>
    <row r="4" customFormat="false" ht="15" hidden="false" customHeight="false" outlineLevel="0" collapsed="false">
      <c r="A4" s="2" t="s">
        <v>17</v>
      </c>
      <c r="B4" s="2" t="s">
        <v>18</v>
      </c>
      <c r="C4" s="2" t="n">
        <v>2025</v>
      </c>
      <c r="D4" s="2" t="n">
        <v>1</v>
      </c>
      <c r="E4" s="2" t="s">
        <v>14</v>
      </c>
      <c r="F4" s="3" t="n">
        <v>967</v>
      </c>
      <c r="G4" s="3" t="n">
        <v>120</v>
      </c>
      <c r="H4" s="3" t="n">
        <v>1936</v>
      </c>
      <c r="I4" s="3" t="n">
        <v>2568</v>
      </c>
      <c r="J4" s="3" t="n">
        <v>1676781</v>
      </c>
      <c r="K4" s="3" t="n">
        <v>230972</v>
      </c>
      <c r="L4" s="3" t="n">
        <f aca="false">J4-K4</f>
        <v>1445809</v>
      </c>
    </row>
    <row r="5" customFormat="false" ht="15" hidden="false" customHeight="false" outlineLevel="0" collapsed="false">
      <c r="A5" s="2" t="s">
        <v>19</v>
      </c>
      <c r="B5" s="2" t="s">
        <v>20</v>
      </c>
      <c r="C5" s="2" t="n">
        <v>2025</v>
      </c>
      <c r="D5" s="2" t="n">
        <v>1</v>
      </c>
      <c r="E5" s="2" t="s">
        <v>14</v>
      </c>
      <c r="F5" s="3" t="n">
        <v>273</v>
      </c>
      <c r="G5" s="3" t="n">
        <v>217</v>
      </c>
      <c r="H5" s="3" t="n">
        <v>804</v>
      </c>
      <c r="I5" s="3" t="n">
        <v>217</v>
      </c>
      <c r="J5" s="3" t="n">
        <v>612792</v>
      </c>
      <c r="K5" s="3" t="n">
        <v>63330</v>
      </c>
      <c r="L5" s="3" t="n">
        <f aca="false">J5-K5</f>
        <v>549462</v>
      </c>
    </row>
    <row r="6" customFormat="false" ht="15" hidden="false" customHeight="false" outlineLevel="0" collapsed="false">
      <c r="A6" s="2" t="s">
        <v>21</v>
      </c>
      <c r="B6" s="2" t="s">
        <v>22</v>
      </c>
      <c r="C6" s="2" t="n">
        <v>2025</v>
      </c>
      <c r="D6" s="2" t="n">
        <v>1</v>
      </c>
      <c r="E6" s="2" t="s">
        <v>14</v>
      </c>
      <c r="F6" s="3" t="n">
        <v>1628</v>
      </c>
      <c r="G6" s="3" t="n">
        <v>153</v>
      </c>
      <c r="H6" s="3" t="n">
        <v>1990</v>
      </c>
      <c r="I6" s="3" t="n">
        <v>193</v>
      </c>
      <c r="J6" s="3" t="n">
        <v>1677818</v>
      </c>
      <c r="K6" s="3" t="n">
        <v>281464</v>
      </c>
      <c r="L6" s="3" t="n">
        <f aca="false">J6-K6</f>
        <v>1396354</v>
      </c>
    </row>
    <row r="7" customFormat="false" ht="15" hidden="false" customHeight="false" outlineLevel="0" collapsed="false">
      <c r="A7" s="2" t="s">
        <v>23</v>
      </c>
      <c r="B7" s="2" t="s">
        <v>24</v>
      </c>
      <c r="C7" s="2" t="n">
        <v>2025</v>
      </c>
      <c r="D7" s="2" t="n">
        <v>1</v>
      </c>
      <c r="E7" s="2" t="s">
        <v>14</v>
      </c>
      <c r="F7" s="3" t="n">
        <v>148565</v>
      </c>
      <c r="G7" s="3" t="n">
        <v>29826</v>
      </c>
      <c r="H7" s="3" t="n">
        <v>218749</v>
      </c>
      <c r="I7" s="3" t="n">
        <v>45704</v>
      </c>
      <c r="J7" s="3" t="n">
        <v>189082292</v>
      </c>
      <c r="K7" s="3" t="n">
        <v>33885022</v>
      </c>
      <c r="L7" s="3" t="n">
        <f aca="false">J7-K7</f>
        <v>155197270</v>
      </c>
    </row>
    <row r="8" customFormat="false" ht="15" hidden="false" customHeight="false" outlineLevel="0" collapsed="false">
      <c r="A8" s="2" t="s">
        <v>25</v>
      </c>
      <c r="B8" s="2" t="s">
        <v>26</v>
      </c>
      <c r="C8" s="2" t="n">
        <v>2025</v>
      </c>
      <c r="D8" s="2" t="n">
        <v>1</v>
      </c>
      <c r="E8" s="2" t="s">
        <v>14</v>
      </c>
      <c r="F8" s="3" t="n">
        <v>109</v>
      </c>
      <c r="G8" s="3" t="n">
        <v>26</v>
      </c>
      <c r="H8" s="3" t="n">
        <v>202</v>
      </c>
      <c r="I8" s="3" t="n">
        <v>29</v>
      </c>
      <c r="J8" s="3" t="n">
        <v>231584</v>
      </c>
      <c r="K8" s="3" t="n">
        <v>9094</v>
      </c>
      <c r="L8" s="3" t="n">
        <f aca="false">J8-K8</f>
        <v>222490</v>
      </c>
    </row>
    <row r="9" customFormat="false" ht="15" hidden="false" customHeight="false" outlineLevel="0" collapsed="false">
      <c r="A9" s="2" t="s">
        <v>27</v>
      </c>
      <c r="B9" s="2" t="s">
        <v>28</v>
      </c>
      <c r="C9" s="2" t="n">
        <v>2025</v>
      </c>
      <c r="D9" s="2" t="n">
        <v>1</v>
      </c>
      <c r="E9" s="2" t="s">
        <v>14</v>
      </c>
      <c r="F9" s="3" t="n">
        <v>571</v>
      </c>
      <c r="G9" s="3" t="n">
        <v>88</v>
      </c>
      <c r="H9" s="3" t="n">
        <v>1175</v>
      </c>
      <c r="I9" s="3" t="n">
        <v>141</v>
      </c>
      <c r="J9" s="3" t="n">
        <v>750273</v>
      </c>
      <c r="K9" s="3" t="n">
        <v>98741</v>
      </c>
      <c r="L9" s="3" t="n">
        <f aca="false">J9-K9</f>
        <v>651532</v>
      </c>
    </row>
    <row r="10" customFormat="false" ht="15" hidden="false" customHeight="false" outlineLevel="0" collapsed="false">
      <c r="A10" s="2" t="s">
        <v>29</v>
      </c>
      <c r="B10" s="2" t="s">
        <v>30</v>
      </c>
      <c r="C10" s="2" t="n">
        <v>2025</v>
      </c>
      <c r="D10" s="2" t="n">
        <v>1</v>
      </c>
      <c r="E10" s="2" t="s">
        <v>14</v>
      </c>
      <c r="F10" s="3" t="n">
        <v>679</v>
      </c>
      <c r="G10" s="3" t="n">
        <v>196</v>
      </c>
      <c r="H10" s="3" t="n">
        <v>2113</v>
      </c>
      <c r="I10" s="3" t="n">
        <v>217</v>
      </c>
      <c r="J10" s="3" t="n">
        <v>1611304</v>
      </c>
      <c r="K10" s="3" t="n">
        <v>223553</v>
      </c>
      <c r="L10" s="3" t="n">
        <f aca="false">J10-K10</f>
        <v>1387751</v>
      </c>
    </row>
    <row r="11" customFormat="false" ht="15" hidden="false" customHeight="false" outlineLevel="0" collapsed="false">
      <c r="A11" s="2" t="s">
        <v>31</v>
      </c>
      <c r="B11" s="2" t="s">
        <v>32</v>
      </c>
      <c r="C11" s="2" t="n">
        <v>2025</v>
      </c>
      <c r="D11" s="2" t="n">
        <v>1</v>
      </c>
      <c r="E11" s="2" t="s">
        <v>14</v>
      </c>
      <c r="F11" s="3" t="n">
        <v>695</v>
      </c>
      <c r="G11" s="3" t="n">
        <v>128</v>
      </c>
      <c r="H11" s="3" t="n">
        <v>2373</v>
      </c>
      <c r="I11" s="3" t="n">
        <v>179</v>
      </c>
      <c r="J11" s="3" t="n">
        <v>1545863</v>
      </c>
      <c r="K11" s="3" t="n">
        <v>228734</v>
      </c>
      <c r="L11" s="3" t="n">
        <f aca="false">J11-K11</f>
        <v>1317129</v>
      </c>
    </row>
    <row r="12" customFormat="false" ht="15" hidden="false" customHeight="false" outlineLevel="0" collapsed="false">
      <c r="A12" s="2" t="s">
        <v>33</v>
      </c>
      <c r="B12" s="2" t="s">
        <v>34</v>
      </c>
      <c r="C12" s="2" t="n">
        <v>2025</v>
      </c>
      <c r="D12" s="2" t="n">
        <v>1</v>
      </c>
      <c r="E12" s="2" t="s">
        <v>14</v>
      </c>
      <c r="F12" s="3" t="n">
        <v>2456</v>
      </c>
      <c r="G12" s="3" t="n">
        <v>336</v>
      </c>
      <c r="H12" s="3" t="n">
        <v>3950</v>
      </c>
      <c r="I12" s="3" t="n">
        <v>471</v>
      </c>
      <c r="J12" s="3" t="n">
        <v>2819216</v>
      </c>
      <c r="K12" s="3" t="n">
        <v>130655</v>
      </c>
      <c r="L12" s="3" t="n">
        <f aca="false">J12-K12</f>
        <v>2688561</v>
      </c>
    </row>
    <row r="13" customFormat="false" ht="15" hidden="false" customHeight="false" outlineLevel="0" collapsed="false">
      <c r="A13" s="2" t="s">
        <v>35</v>
      </c>
      <c r="B13" s="2" t="s">
        <v>36</v>
      </c>
      <c r="C13" s="2" t="n">
        <v>2025</v>
      </c>
      <c r="D13" s="2" t="n">
        <v>1</v>
      </c>
      <c r="E13" s="2" t="s">
        <v>14</v>
      </c>
      <c r="F13" s="3" t="n">
        <v>653</v>
      </c>
      <c r="G13" s="3" t="n">
        <v>78</v>
      </c>
      <c r="H13" s="3" t="n">
        <v>1470</v>
      </c>
      <c r="I13" s="3" t="n">
        <v>174</v>
      </c>
      <c r="J13" s="3" t="n">
        <v>1676071</v>
      </c>
      <c r="K13" s="3" t="n">
        <v>138765</v>
      </c>
      <c r="L13" s="3" t="n">
        <f aca="false">J13-K13</f>
        <v>1537306</v>
      </c>
    </row>
    <row r="14" customFormat="false" ht="15" hidden="false" customHeight="false" outlineLevel="0" collapsed="false">
      <c r="A14" s="2" t="s">
        <v>37</v>
      </c>
      <c r="B14" s="2" t="s">
        <v>38</v>
      </c>
      <c r="C14" s="2" t="n">
        <v>2025</v>
      </c>
      <c r="D14" s="2" t="n">
        <v>1</v>
      </c>
      <c r="E14" s="2" t="s">
        <v>14</v>
      </c>
      <c r="F14" s="3" t="n">
        <v>569</v>
      </c>
      <c r="G14" s="3" t="n">
        <v>67</v>
      </c>
      <c r="H14" s="3" t="n">
        <v>1229</v>
      </c>
      <c r="I14" s="3" t="n">
        <v>195</v>
      </c>
      <c r="J14" s="3" t="n">
        <v>781699</v>
      </c>
      <c r="K14" s="3" t="n">
        <v>99178</v>
      </c>
      <c r="L14" s="3" t="n">
        <f aca="false">J14-K14</f>
        <v>682521</v>
      </c>
    </row>
    <row r="15" customFormat="false" ht="15" hidden="false" customHeight="false" outlineLevel="0" collapsed="false">
      <c r="A15" s="2" t="s">
        <v>39</v>
      </c>
      <c r="B15" s="2" t="s">
        <v>40</v>
      </c>
      <c r="C15" s="2" t="n">
        <v>2025</v>
      </c>
      <c r="D15" s="2" t="n">
        <v>1</v>
      </c>
      <c r="E15" s="2" t="s">
        <v>14</v>
      </c>
      <c r="F15" s="3" t="n">
        <v>677</v>
      </c>
      <c r="G15" s="3" t="n">
        <v>87</v>
      </c>
      <c r="H15" s="3" t="n">
        <v>1799</v>
      </c>
      <c r="I15" s="3" t="n">
        <v>179</v>
      </c>
      <c r="J15" s="3" t="n">
        <v>1114510</v>
      </c>
      <c r="K15" s="3" t="n">
        <v>159321</v>
      </c>
      <c r="L15" s="3" t="n">
        <f aca="false">J15-K15</f>
        <v>955189</v>
      </c>
    </row>
    <row r="16" customFormat="false" ht="15" hidden="false" customHeight="false" outlineLevel="0" collapsed="false">
      <c r="A16" s="2" t="s">
        <v>41</v>
      </c>
      <c r="B16" s="2" t="s">
        <v>42</v>
      </c>
      <c r="C16" s="2" t="n">
        <v>2025</v>
      </c>
      <c r="D16" s="2" t="n">
        <v>1</v>
      </c>
      <c r="E16" s="2" t="s">
        <v>14</v>
      </c>
      <c r="F16" s="3" t="n">
        <v>462</v>
      </c>
      <c r="G16" s="3" t="n">
        <v>76</v>
      </c>
      <c r="H16" s="3" t="n">
        <v>918</v>
      </c>
      <c r="I16" s="3" t="n">
        <v>154</v>
      </c>
      <c r="J16" s="3" t="n">
        <v>932955</v>
      </c>
      <c r="K16" s="3" t="n">
        <v>111200</v>
      </c>
      <c r="L16" s="3" t="n">
        <f aca="false">J16-K16</f>
        <v>821755</v>
      </c>
    </row>
    <row r="17" customFormat="false" ht="15" hidden="false" customHeight="false" outlineLevel="0" collapsed="false">
      <c r="A17" s="2" t="s">
        <v>43</v>
      </c>
      <c r="B17" s="2" t="s">
        <v>44</v>
      </c>
      <c r="C17" s="2" t="n">
        <v>2025</v>
      </c>
      <c r="D17" s="2" t="n">
        <v>1</v>
      </c>
      <c r="E17" s="2" t="s">
        <v>14</v>
      </c>
      <c r="F17" s="3" t="n">
        <v>2017</v>
      </c>
      <c r="G17" s="3" t="n">
        <v>215</v>
      </c>
      <c r="H17" s="3" t="n">
        <v>4506</v>
      </c>
      <c r="I17" s="3" t="n">
        <v>348</v>
      </c>
      <c r="J17" s="3" t="n">
        <v>2323805</v>
      </c>
      <c r="K17" s="3" t="n">
        <v>667866</v>
      </c>
      <c r="L17" s="3" t="n">
        <f aca="false">J17-K17</f>
        <v>1655939</v>
      </c>
    </row>
    <row r="18" customFormat="false" ht="15" hidden="false" customHeight="false" outlineLevel="0" collapsed="false">
      <c r="A18" s="2" t="s">
        <v>45</v>
      </c>
      <c r="B18" s="2" t="s">
        <v>46</v>
      </c>
      <c r="C18" s="2" t="n">
        <v>2025</v>
      </c>
      <c r="D18" s="2" t="n">
        <v>1</v>
      </c>
      <c r="E18" s="2" t="s">
        <v>14</v>
      </c>
      <c r="F18" s="3" t="n">
        <v>620</v>
      </c>
      <c r="G18" s="3" t="n">
        <v>94</v>
      </c>
      <c r="H18" s="3" t="n">
        <v>1715</v>
      </c>
      <c r="I18" s="3" t="n">
        <v>140</v>
      </c>
      <c r="J18" s="3" t="n">
        <v>1837158</v>
      </c>
      <c r="K18" s="3" t="n">
        <v>173665</v>
      </c>
      <c r="L18" s="3" t="n">
        <f aca="false">J18-K18</f>
        <v>1663493</v>
      </c>
    </row>
    <row r="19" customFormat="false" ht="15" hidden="false" customHeight="false" outlineLevel="0" collapsed="false">
      <c r="A19" s="2" t="s">
        <v>47</v>
      </c>
      <c r="B19" s="2" t="s">
        <v>48</v>
      </c>
      <c r="C19" s="2" t="n">
        <v>2025</v>
      </c>
      <c r="D19" s="2" t="n">
        <v>1</v>
      </c>
      <c r="E19" s="2" t="s">
        <v>14</v>
      </c>
      <c r="F19" s="3" t="n">
        <v>781</v>
      </c>
      <c r="G19" s="3" t="n">
        <v>62</v>
      </c>
      <c r="H19" s="3" t="n">
        <v>1182</v>
      </c>
      <c r="I19" s="3" t="n">
        <v>137</v>
      </c>
      <c r="J19" s="3" t="n">
        <v>1052830</v>
      </c>
      <c r="K19" s="3" t="n">
        <v>98232</v>
      </c>
      <c r="L19" s="3" t="n">
        <f aca="false">J19-K19</f>
        <v>954598</v>
      </c>
    </row>
    <row r="20" customFormat="false" ht="15" hidden="false" customHeight="false" outlineLevel="0" collapsed="false">
      <c r="A20" s="2" t="s">
        <v>49</v>
      </c>
      <c r="B20" s="2" t="s">
        <v>50</v>
      </c>
      <c r="C20" s="2" t="n">
        <v>2025</v>
      </c>
      <c r="D20" s="2" t="n">
        <v>1</v>
      </c>
      <c r="E20" s="2" t="s">
        <v>14</v>
      </c>
      <c r="F20" s="3" t="n">
        <v>1758</v>
      </c>
      <c r="G20" s="3" t="n">
        <v>178</v>
      </c>
      <c r="H20" s="3" t="n">
        <v>4157</v>
      </c>
      <c r="I20" s="3" t="n">
        <v>525</v>
      </c>
      <c r="J20" s="3" t="n">
        <v>2988563</v>
      </c>
      <c r="K20" s="3" t="n">
        <v>417875</v>
      </c>
      <c r="L20" s="3" t="n">
        <f aca="false">J20-K20</f>
        <v>2570688</v>
      </c>
    </row>
    <row r="21" customFormat="false" ht="15" hidden="false" customHeight="false" outlineLevel="0" collapsed="false">
      <c r="A21" s="2" t="s">
        <v>12</v>
      </c>
      <c r="B21" s="2" t="s">
        <v>13</v>
      </c>
      <c r="C21" s="2" t="n">
        <v>2025</v>
      </c>
      <c r="D21" s="2" t="n">
        <v>2</v>
      </c>
      <c r="E21" s="2" t="s">
        <v>51</v>
      </c>
      <c r="F21" s="3" t="n">
        <v>142289</v>
      </c>
      <c r="G21" s="3" t="n">
        <v>29697</v>
      </c>
      <c r="H21" s="3" t="n">
        <v>222777</v>
      </c>
      <c r="I21" s="3" t="n">
        <v>45718</v>
      </c>
      <c r="J21" s="3" t="n">
        <v>176267467</v>
      </c>
      <c r="K21" s="3" t="n">
        <v>33207268</v>
      </c>
      <c r="L21" s="3" t="n">
        <f aca="false">J21-K21</f>
        <v>143060199</v>
      </c>
    </row>
    <row r="22" customFormat="false" ht="15" hidden="false" customHeight="false" outlineLevel="0" collapsed="false">
      <c r="A22" s="2" t="s">
        <v>15</v>
      </c>
      <c r="B22" s="2" t="s">
        <v>16</v>
      </c>
      <c r="C22" s="2" t="n">
        <v>2025</v>
      </c>
      <c r="D22" s="2" t="n">
        <v>2</v>
      </c>
      <c r="E22" s="2" t="s">
        <v>51</v>
      </c>
      <c r="F22" s="3" t="n">
        <v>1303</v>
      </c>
      <c r="G22" s="3" t="n">
        <v>179</v>
      </c>
      <c r="H22" s="3" t="n">
        <v>2786</v>
      </c>
      <c r="I22" s="3" t="n">
        <v>296</v>
      </c>
      <c r="J22" s="3" t="n">
        <v>1554339</v>
      </c>
      <c r="K22" s="3" t="n">
        <v>270858</v>
      </c>
      <c r="L22" s="3" t="n">
        <f aca="false">J22-K22</f>
        <v>1283481</v>
      </c>
    </row>
    <row r="23" customFormat="false" ht="15" hidden="false" customHeight="false" outlineLevel="0" collapsed="false">
      <c r="A23" s="2" t="s">
        <v>17</v>
      </c>
      <c r="B23" s="2" t="s">
        <v>18</v>
      </c>
      <c r="C23" s="2" t="n">
        <v>2025</v>
      </c>
      <c r="D23" s="2" t="n">
        <v>2</v>
      </c>
      <c r="E23" s="2" t="s">
        <v>51</v>
      </c>
      <c r="F23" s="3" t="n">
        <v>909</v>
      </c>
      <c r="G23" s="3" t="n">
        <v>99</v>
      </c>
      <c r="H23" s="3" t="n">
        <v>1766</v>
      </c>
      <c r="I23" s="3" t="n">
        <v>2145</v>
      </c>
      <c r="J23" s="3" t="n">
        <v>1614081</v>
      </c>
      <c r="K23" s="3" t="n">
        <v>196858</v>
      </c>
      <c r="L23" s="3" t="n">
        <f aca="false">J23-K23</f>
        <v>1417223</v>
      </c>
    </row>
    <row r="24" customFormat="false" ht="15" hidden="false" customHeight="false" outlineLevel="0" collapsed="false">
      <c r="A24" s="2" t="s">
        <v>19</v>
      </c>
      <c r="B24" s="2" t="s">
        <v>20</v>
      </c>
      <c r="C24" s="2" t="n">
        <v>2025</v>
      </c>
      <c r="D24" s="2" t="n">
        <v>2</v>
      </c>
      <c r="E24" s="2" t="s">
        <v>51</v>
      </c>
      <c r="F24" s="3" t="n">
        <v>216</v>
      </c>
      <c r="G24" s="3" t="n">
        <v>183</v>
      </c>
      <c r="H24" s="3" t="n">
        <v>655</v>
      </c>
      <c r="I24" s="3" t="n">
        <v>183</v>
      </c>
      <c r="J24" s="3" t="n">
        <v>483608</v>
      </c>
      <c r="K24" s="3" t="n">
        <v>54109</v>
      </c>
      <c r="L24" s="3" t="n">
        <f aca="false">J24-K24</f>
        <v>429499</v>
      </c>
    </row>
    <row r="25" customFormat="false" ht="15" hidden="false" customHeight="false" outlineLevel="0" collapsed="false">
      <c r="A25" s="2" t="s">
        <v>21</v>
      </c>
      <c r="B25" s="2" t="s">
        <v>22</v>
      </c>
      <c r="C25" s="2" t="n">
        <v>2025</v>
      </c>
      <c r="D25" s="2" t="n">
        <v>2</v>
      </c>
      <c r="E25" s="2" t="s">
        <v>51</v>
      </c>
      <c r="F25" s="3" t="n">
        <v>1434</v>
      </c>
      <c r="G25" s="3" t="n">
        <v>119</v>
      </c>
      <c r="H25" s="3" t="n">
        <v>1658</v>
      </c>
      <c r="I25" s="3" t="n">
        <v>150</v>
      </c>
      <c r="J25" s="3" t="n">
        <v>1422189</v>
      </c>
      <c r="K25" s="3" t="n">
        <v>229473</v>
      </c>
      <c r="L25" s="3" t="n">
        <f aca="false">J25-K25</f>
        <v>1192716</v>
      </c>
    </row>
    <row r="26" customFormat="false" ht="15" hidden="false" customHeight="false" outlineLevel="0" collapsed="false">
      <c r="A26" s="2" t="s">
        <v>23</v>
      </c>
      <c r="B26" s="2" t="s">
        <v>24</v>
      </c>
      <c r="C26" s="2" t="n">
        <v>2025</v>
      </c>
      <c r="D26" s="2" t="n">
        <v>2</v>
      </c>
      <c r="E26" s="2" t="s">
        <v>51</v>
      </c>
      <c r="F26" s="3" t="n">
        <v>128515</v>
      </c>
      <c r="G26" s="3" t="n">
        <v>27731</v>
      </c>
      <c r="H26" s="3" t="n">
        <v>193710</v>
      </c>
      <c r="I26" s="3" t="n">
        <v>40535</v>
      </c>
      <c r="J26" s="3" t="n">
        <v>154905002</v>
      </c>
      <c r="K26" s="3" t="n">
        <v>30398837</v>
      </c>
      <c r="L26" s="3" t="n">
        <f aca="false">J26-K26</f>
        <v>124506165</v>
      </c>
    </row>
    <row r="27" customFormat="false" ht="15" hidden="false" customHeight="false" outlineLevel="0" collapsed="false">
      <c r="A27" s="2" t="s">
        <v>25</v>
      </c>
      <c r="B27" s="2" t="s">
        <v>26</v>
      </c>
      <c r="C27" s="2" t="n">
        <v>2025</v>
      </c>
      <c r="D27" s="2" t="n">
        <v>2</v>
      </c>
      <c r="E27" s="2" t="s">
        <v>51</v>
      </c>
      <c r="F27" s="3" t="n">
        <v>94</v>
      </c>
      <c r="G27" s="3" t="n">
        <v>25</v>
      </c>
      <c r="H27" s="3" t="n">
        <v>174</v>
      </c>
      <c r="I27" s="3" t="n">
        <v>28</v>
      </c>
      <c r="J27" s="3" t="n">
        <v>211235</v>
      </c>
      <c r="K27" s="3" t="n">
        <v>8913</v>
      </c>
      <c r="L27" s="3" t="n">
        <f aca="false">J27-K27</f>
        <v>202322</v>
      </c>
    </row>
    <row r="28" customFormat="false" ht="15" hidden="false" customHeight="false" outlineLevel="0" collapsed="false">
      <c r="A28" s="2" t="s">
        <v>27</v>
      </c>
      <c r="B28" s="2" t="s">
        <v>28</v>
      </c>
      <c r="C28" s="2" t="n">
        <v>2025</v>
      </c>
      <c r="D28" s="2" t="n">
        <v>2</v>
      </c>
      <c r="E28" s="2" t="s">
        <v>51</v>
      </c>
      <c r="F28" s="3" t="n">
        <v>432</v>
      </c>
      <c r="G28" s="3" t="n">
        <v>74</v>
      </c>
      <c r="H28" s="3" t="n">
        <v>895</v>
      </c>
      <c r="I28" s="3" t="n">
        <v>120</v>
      </c>
      <c r="J28" s="3" t="n">
        <v>600106</v>
      </c>
      <c r="K28" s="3" t="n">
        <v>86215</v>
      </c>
      <c r="L28" s="3" t="n">
        <f aca="false">J28-K28</f>
        <v>513891</v>
      </c>
    </row>
    <row r="29" customFormat="false" ht="15" hidden="false" customHeight="false" outlineLevel="0" collapsed="false">
      <c r="A29" s="2" t="s">
        <v>29</v>
      </c>
      <c r="B29" s="2" t="s">
        <v>30</v>
      </c>
      <c r="C29" s="2" t="n">
        <v>2025</v>
      </c>
      <c r="D29" s="2" t="n">
        <v>2</v>
      </c>
      <c r="E29" s="2" t="s">
        <v>51</v>
      </c>
      <c r="F29" s="3" t="n">
        <v>514</v>
      </c>
      <c r="G29" s="3" t="n">
        <v>179</v>
      </c>
      <c r="H29" s="3" t="n">
        <v>1692</v>
      </c>
      <c r="I29" s="3" t="n">
        <v>195</v>
      </c>
      <c r="J29" s="3" t="n">
        <v>1215570</v>
      </c>
      <c r="K29" s="3" t="n">
        <v>203300</v>
      </c>
      <c r="L29" s="3" t="n">
        <f aca="false">J29-K29</f>
        <v>1012270</v>
      </c>
    </row>
    <row r="30" customFormat="false" ht="15" hidden="false" customHeight="false" outlineLevel="0" collapsed="false">
      <c r="A30" s="2" t="s">
        <v>31</v>
      </c>
      <c r="B30" s="2" t="s">
        <v>32</v>
      </c>
      <c r="C30" s="2" t="n">
        <v>2025</v>
      </c>
      <c r="D30" s="2" t="n">
        <v>2</v>
      </c>
      <c r="E30" s="2" t="s">
        <v>51</v>
      </c>
      <c r="F30" s="3" t="n">
        <v>648</v>
      </c>
      <c r="G30" s="3" t="n">
        <v>106</v>
      </c>
      <c r="H30" s="3" t="n">
        <v>2206</v>
      </c>
      <c r="I30" s="3" t="n">
        <v>150</v>
      </c>
      <c r="J30" s="3" t="n">
        <v>1444793</v>
      </c>
      <c r="K30" s="3" t="n">
        <v>193738</v>
      </c>
      <c r="L30" s="3" t="n">
        <f aca="false">J30-K30</f>
        <v>1251055</v>
      </c>
    </row>
    <row r="31" customFormat="false" ht="15" hidden="false" customHeight="false" outlineLevel="0" collapsed="false">
      <c r="A31" s="2" t="s">
        <v>33</v>
      </c>
      <c r="B31" s="2" t="s">
        <v>34</v>
      </c>
      <c r="C31" s="2" t="n">
        <v>2025</v>
      </c>
      <c r="D31" s="2" t="n">
        <v>2</v>
      </c>
      <c r="E31" s="2" t="s">
        <v>51</v>
      </c>
      <c r="F31" s="3" t="n">
        <v>1933</v>
      </c>
      <c r="G31" s="3" t="n">
        <v>320</v>
      </c>
      <c r="H31" s="3" t="n">
        <v>3115</v>
      </c>
      <c r="I31" s="3" t="n">
        <v>446</v>
      </c>
      <c r="J31" s="3" t="n">
        <v>2318827</v>
      </c>
      <c r="K31" s="3" t="n">
        <v>123313</v>
      </c>
      <c r="L31" s="3" t="n">
        <f aca="false">J31-K31</f>
        <v>2195514</v>
      </c>
    </row>
    <row r="32" customFormat="false" ht="15" hidden="false" customHeight="false" outlineLevel="0" collapsed="false">
      <c r="A32" s="2" t="s">
        <v>35</v>
      </c>
      <c r="B32" s="2" t="s">
        <v>36</v>
      </c>
      <c r="C32" s="2" t="n">
        <v>2025</v>
      </c>
      <c r="D32" s="2" t="n">
        <v>2</v>
      </c>
      <c r="E32" s="2" t="s">
        <v>51</v>
      </c>
      <c r="F32" s="3" t="n">
        <v>477</v>
      </c>
      <c r="G32" s="3" t="n">
        <v>62</v>
      </c>
      <c r="H32" s="3" t="n">
        <v>1118</v>
      </c>
      <c r="I32" s="3" t="n">
        <v>136</v>
      </c>
      <c r="J32" s="3" t="n">
        <v>1197931</v>
      </c>
      <c r="K32" s="3" t="n">
        <v>113785</v>
      </c>
      <c r="L32" s="3" t="n">
        <f aca="false">J32-K32</f>
        <v>1084146</v>
      </c>
    </row>
    <row r="33" customFormat="false" ht="15" hidden="false" customHeight="false" outlineLevel="0" collapsed="false">
      <c r="A33" s="2" t="s">
        <v>37</v>
      </c>
      <c r="B33" s="2" t="s">
        <v>38</v>
      </c>
      <c r="C33" s="2" t="n">
        <v>2025</v>
      </c>
      <c r="D33" s="2" t="n">
        <v>2</v>
      </c>
      <c r="E33" s="2" t="s">
        <v>51</v>
      </c>
      <c r="F33" s="3" t="n">
        <v>477</v>
      </c>
      <c r="G33" s="3" t="n">
        <v>59</v>
      </c>
      <c r="H33" s="3" t="n">
        <v>1043</v>
      </c>
      <c r="I33" s="3" t="n">
        <v>168</v>
      </c>
      <c r="J33" s="3" t="n">
        <v>670461</v>
      </c>
      <c r="K33" s="3" t="n">
        <v>87782</v>
      </c>
      <c r="L33" s="3" t="n">
        <f aca="false">J33-K33</f>
        <v>582679</v>
      </c>
    </row>
    <row r="34" customFormat="false" ht="15" hidden="false" customHeight="false" outlineLevel="0" collapsed="false">
      <c r="A34" s="2" t="s">
        <v>39</v>
      </c>
      <c r="B34" s="2" t="s">
        <v>40</v>
      </c>
      <c r="C34" s="2" t="n">
        <v>2025</v>
      </c>
      <c r="D34" s="2" t="n">
        <v>2</v>
      </c>
      <c r="E34" s="2" t="s">
        <v>51</v>
      </c>
      <c r="F34" s="3" t="n">
        <v>572</v>
      </c>
      <c r="G34" s="3" t="n">
        <v>71</v>
      </c>
      <c r="H34" s="3" t="n">
        <v>1589</v>
      </c>
      <c r="I34" s="3" t="n">
        <v>147</v>
      </c>
      <c r="J34" s="3" t="n">
        <v>937644</v>
      </c>
      <c r="K34" s="3" t="n">
        <v>123439</v>
      </c>
      <c r="L34" s="3" t="n">
        <f aca="false">J34-K34</f>
        <v>814205</v>
      </c>
    </row>
    <row r="35" customFormat="false" ht="15" hidden="false" customHeight="false" outlineLevel="0" collapsed="false">
      <c r="A35" s="2" t="s">
        <v>41</v>
      </c>
      <c r="B35" s="2" t="s">
        <v>42</v>
      </c>
      <c r="C35" s="2" t="n">
        <v>2025</v>
      </c>
      <c r="D35" s="2" t="n">
        <v>2</v>
      </c>
      <c r="E35" s="2" t="s">
        <v>51</v>
      </c>
      <c r="F35" s="3" t="n">
        <v>440</v>
      </c>
      <c r="G35" s="3" t="n">
        <v>59</v>
      </c>
      <c r="H35" s="3" t="n">
        <v>885</v>
      </c>
      <c r="I35" s="3" t="n">
        <v>117</v>
      </c>
      <c r="J35" s="3" t="n">
        <v>922900</v>
      </c>
      <c r="K35" s="3" t="n">
        <v>85684</v>
      </c>
      <c r="L35" s="3" t="n">
        <f aca="false">J35-K35</f>
        <v>837216</v>
      </c>
    </row>
    <row r="36" customFormat="false" ht="15" hidden="false" customHeight="false" outlineLevel="0" collapsed="false">
      <c r="A36" s="2" t="s">
        <v>43</v>
      </c>
      <c r="B36" s="2" t="s">
        <v>44</v>
      </c>
      <c r="C36" s="2" t="n">
        <v>2025</v>
      </c>
      <c r="D36" s="2" t="n">
        <v>2</v>
      </c>
      <c r="E36" s="2" t="s">
        <v>51</v>
      </c>
      <c r="F36" s="3" t="n">
        <v>1728</v>
      </c>
      <c r="G36" s="3" t="n">
        <v>161</v>
      </c>
      <c r="H36" s="3" t="n">
        <v>3886</v>
      </c>
      <c r="I36" s="3" t="n">
        <v>270</v>
      </c>
      <c r="J36" s="3" t="n">
        <v>1988933</v>
      </c>
      <c r="K36" s="3" t="n">
        <v>485115</v>
      </c>
      <c r="L36" s="3" t="n">
        <f aca="false">J36-K36</f>
        <v>1503818</v>
      </c>
    </row>
    <row r="37" customFormat="false" ht="15" hidden="false" customHeight="false" outlineLevel="0" collapsed="false">
      <c r="A37" s="2" t="s">
        <v>45</v>
      </c>
      <c r="B37" s="2" t="s">
        <v>46</v>
      </c>
      <c r="C37" s="2" t="n">
        <v>2025</v>
      </c>
      <c r="D37" s="2" t="n">
        <v>2</v>
      </c>
      <c r="E37" s="2" t="s">
        <v>51</v>
      </c>
      <c r="F37" s="3" t="n">
        <v>456</v>
      </c>
      <c r="G37" s="3" t="n">
        <v>76</v>
      </c>
      <c r="H37" s="3" t="n">
        <v>1239</v>
      </c>
      <c r="I37" s="3" t="n">
        <v>113</v>
      </c>
      <c r="J37" s="3" t="n">
        <v>1396936</v>
      </c>
      <c r="K37" s="3" t="n">
        <v>134535</v>
      </c>
      <c r="L37" s="3" t="n">
        <f aca="false">J37-K37</f>
        <v>1262401</v>
      </c>
    </row>
    <row r="38" customFormat="false" ht="15" hidden="false" customHeight="false" outlineLevel="0" collapsed="false">
      <c r="A38" s="2" t="s">
        <v>47</v>
      </c>
      <c r="B38" s="2" t="s">
        <v>48</v>
      </c>
      <c r="C38" s="2" t="n">
        <v>2025</v>
      </c>
      <c r="D38" s="2" t="n">
        <v>2</v>
      </c>
      <c r="E38" s="2" t="s">
        <v>51</v>
      </c>
      <c r="F38" s="3" t="n">
        <v>642</v>
      </c>
      <c r="G38" s="3" t="n">
        <v>60</v>
      </c>
      <c r="H38" s="3" t="n">
        <v>982</v>
      </c>
      <c r="I38" s="3" t="n">
        <v>135</v>
      </c>
      <c r="J38" s="3" t="n">
        <v>856742</v>
      </c>
      <c r="K38" s="3" t="n">
        <v>98025</v>
      </c>
      <c r="L38" s="3" t="n">
        <f aca="false">J38-K38</f>
        <v>758717</v>
      </c>
    </row>
    <row r="39" customFormat="false" ht="15" hidden="false" customHeight="false" outlineLevel="0" collapsed="false">
      <c r="A39" s="2" t="s">
        <v>49</v>
      </c>
      <c r="B39" s="2" t="s">
        <v>50</v>
      </c>
      <c r="C39" s="2" t="n">
        <v>2025</v>
      </c>
      <c r="D39" s="2" t="n">
        <v>2</v>
      </c>
      <c r="E39" s="2" t="s">
        <v>51</v>
      </c>
      <c r="F39" s="3" t="n">
        <v>1499</v>
      </c>
      <c r="G39" s="3" t="n">
        <v>134</v>
      </c>
      <c r="H39" s="3" t="n">
        <v>3378</v>
      </c>
      <c r="I39" s="3" t="n">
        <v>384</v>
      </c>
      <c r="J39" s="3" t="n">
        <v>2526170</v>
      </c>
      <c r="K39" s="3" t="n">
        <v>313289</v>
      </c>
      <c r="L39" s="3" t="n">
        <f aca="false">J39-K39</f>
        <v>2212881</v>
      </c>
    </row>
    <row r="40" customFormat="false" ht="15" hidden="false" customHeight="false" outlineLevel="0" collapsed="false">
      <c r="A40" s="2" t="s">
        <v>12</v>
      </c>
      <c r="B40" s="2" t="s">
        <v>13</v>
      </c>
      <c r="C40" s="2" t="n">
        <v>2025</v>
      </c>
      <c r="D40" s="2" t="n">
        <v>3</v>
      </c>
      <c r="E40" s="2" t="s">
        <v>52</v>
      </c>
      <c r="F40" s="3" t="n">
        <v>139831</v>
      </c>
      <c r="G40" s="3" t="n">
        <v>31876</v>
      </c>
      <c r="H40" s="3" t="n">
        <v>221347</v>
      </c>
      <c r="I40" s="3" t="n">
        <v>50748</v>
      </c>
      <c r="J40" s="3" t="n">
        <v>179566153</v>
      </c>
      <c r="K40" s="3" t="n">
        <v>35857151</v>
      </c>
      <c r="L40" s="3" t="n">
        <f aca="false">J40-K40</f>
        <v>143709002</v>
      </c>
    </row>
    <row r="41" customFormat="false" ht="15" hidden="false" customHeight="false" outlineLevel="0" collapsed="false">
      <c r="A41" s="2" t="s">
        <v>15</v>
      </c>
      <c r="B41" s="2" t="s">
        <v>16</v>
      </c>
      <c r="C41" s="2" t="n">
        <v>2025</v>
      </c>
      <c r="D41" s="2" t="n">
        <v>3</v>
      </c>
      <c r="E41" s="2" t="s">
        <v>52</v>
      </c>
      <c r="F41" s="3" t="n">
        <v>1350</v>
      </c>
      <c r="G41" s="3" t="n">
        <v>190</v>
      </c>
      <c r="H41" s="3" t="n">
        <v>2796</v>
      </c>
      <c r="I41" s="3" t="n">
        <v>331</v>
      </c>
      <c r="J41" s="3" t="n">
        <v>1656144</v>
      </c>
      <c r="K41" s="3" t="n">
        <v>302572</v>
      </c>
      <c r="L41" s="3" t="n">
        <f aca="false">J41-K41</f>
        <v>1353572</v>
      </c>
    </row>
    <row r="42" customFormat="false" ht="15" hidden="false" customHeight="false" outlineLevel="0" collapsed="false">
      <c r="A42" s="2" t="s">
        <v>17</v>
      </c>
      <c r="B42" s="2" t="s">
        <v>18</v>
      </c>
      <c r="C42" s="2" t="n">
        <v>2025</v>
      </c>
      <c r="D42" s="2" t="n">
        <v>3</v>
      </c>
      <c r="E42" s="2" t="s">
        <v>52</v>
      </c>
      <c r="F42" s="3" t="n">
        <v>957</v>
      </c>
      <c r="G42" s="3" t="n">
        <v>117</v>
      </c>
      <c r="H42" s="3" t="n">
        <v>1960</v>
      </c>
      <c r="I42" s="3" t="n">
        <v>2476</v>
      </c>
      <c r="J42" s="3" t="n">
        <v>1712564</v>
      </c>
      <c r="K42" s="3" t="n">
        <v>237244</v>
      </c>
      <c r="L42" s="3" t="n">
        <f aca="false">J42-K42</f>
        <v>1475320</v>
      </c>
    </row>
    <row r="43" customFormat="false" ht="15" hidden="false" customHeight="false" outlineLevel="0" collapsed="false">
      <c r="A43" s="2" t="s">
        <v>19</v>
      </c>
      <c r="B43" s="2" t="s">
        <v>20</v>
      </c>
      <c r="C43" s="2" t="n">
        <v>2025</v>
      </c>
      <c r="D43" s="2" t="n">
        <v>3</v>
      </c>
      <c r="E43" s="2" t="s">
        <v>52</v>
      </c>
      <c r="F43" s="3" t="n">
        <v>254</v>
      </c>
      <c r="G43" s="3" t="n">
        <v>173</v>
      </c>
      <c r="H43" s="3" t="n">
        <v>778</v>
      </c>
      <c r="I43" s="3" t="n">
        <v>173</v>
      </c>
      <c r="J43" s="3" t="n">
        <v>581799</v>
      </c>
      <c r="K43" s="3" t="n">
        <v>50997</v>
      </c>
      <c r="L43" s="3" t="n">
        <f aca="false">J43-K43</f>
        <v>530802</v>
      </c>
    </row>
    <row r="44" customFormat="false" ht="15" hidden="false" customHeight="false" outlineLevel="0" collapsed="false">
      <c r="A44" s="2" t="s">
        <v>21</v>
      </c>
      <c r="B44" s="2" t="s">
        <v>22</v>
      </c>
      <c r="C44" s="2" t="n">
        <v>2025</v>
      </c>
      <c r="D44" s="2" t="n">
        <v>3</v>
      </c>
      <c r="E44" s="2" t="s">
        <v>52</v>
      </c>
      <c r="F44" s="3" t="n">
        <v>1513</v>
      </c>
      <c r="G44" s="3" t="n">
        <v>132</v>
      </c>
      <c r="H44" s="3" t="n">
        <v>1852</v>
      </c>
      <c r="I44" s="3" t="n">
        <v>166</v>
      </c>
      <c r="J44" s="3" t="n">
        <v>1484392</v>
      </c>
      <c r="K44" s="3" t="n">
        <v>243125</v>
      </c>
      <c r="L44" s="3" t="n">
        <f aca="false">J44-K44</f>
        <v>1241267</v>
      </c>
    </row>
    <row r="45" customFormat="false" ht="15" hidden="false" customHeight="false" outlineLevel="0" collapsed="false">
      <c r="A45" s="2" t="s">
        <v>23</v>
      </c>
      <c r="B45" s="2" t="s">
        <v>24</v>
      </c>
      <c r="C45" s="2" t="n">
        <v>2025</v>
      </c>
      <c r="D45" s="2" t="n">
        <v>3</v>
      </c>
      <c r="E45" s="2" t="s">
        <v>52</v>
      </c>
      <c r="F45" s="3" t="n">
        <v>125527</v>
      </c>
      <c r="G45" s="3" t="n">
        <v>29777</v>
      </c>
      <c r="H45" s="3" t="n">
        <v>190808</v>
      </c>
      <c r="I45" s="3" t="n">
        <v>44968</v>
      </c>
      <c r="J45" s="3" t="n">
        <v>157573413</v>
      </c>
      <c r="K45" s="3" t="n">
        <v>32720784</v>
      </c>
      <c r="L45" s="3" t="n">
        <f aca="false">J45-K45</f>
        <v>124852629</v>
      </c>
    </row>
    <row r="46" customFormat="false" ht="15" hidden="false" customHeight="false" outlineLevel="0" collapsed="false">
      <c r="A46" s="2" t="s">
        <v>25</v>
      </c>
      <c r="B46" s="2" t="s">
        <v>26</v>
      </c>
      <c r="C46" s="2" t="n">
        <v>2025</v>
      </c>
      <c r="D46" s="2" t="n">
        <v>3</v>
      </c>
      <c r="E46" s="2" t="s">
        <v>52</v>
      </c>
      <c r="F46" s="3" t="n">
        <v>97</v>
      </c>
      <c r="G46" s="3" t="n">
        <v>23</v>
      </c>
      <c r="H46" s="3" t="n">
        <v>176</v>
      </c>
      <c r="I46" s="3" t="n">
        <v>25</v>
      </c>
      <c r="J46" s="3" t="n">
        <v>207075</v>
      </c>
      <c r="K46" s="3" t="n">
        <v>8543</v>
      </c>
      <c r="L46" s="3" t="n">
        <f aca="false">J46-K46</f>
        <v>198532</v>
      </c>
    </row>
    <row r="47" customFormat="false" ht="15" hidden="false" customHeight="false" outlineLevel="0" collapsed="false">
      <c r="A47" s="2" t="s">
        <v>27</v>
      </c>
      <c r="B47" s="2" t="s">
        <v>28</v>
      </c>
      <c r="C47" s="2" t="n">
        <v>2025</v>
      </c>
      <c r="D47" s="2" t="n">
        <v>3</v>
      </c>
      <c r="E47" s="2" t="s">
        <v>52</v>
      </c>
      <c r="F47" s="3" t="n">
        <v>461</v>
      </c>
      <c r="G47" s="3" t="n">
        <v>80</v>
      </c>
      <c r="H47" s="3" t="n">
        <v>1005</v>
      </c>
      <c r="I47" s="3" t="n">
        <v>128</v>
      </c>
      <c r="J47" s="3" t="n">
        <v>617263</v>
      </c>
      <c r="K47" s="3" t="n">
        <v>95318</v>
      </c>
      <c r="L47" s="3" t="n">
        <f aca="false">J47-K47</f>
        <v>521945</v>
      </c>
    </row>
    <row r="48" customFormat="false" ht="15" hidden="false" customHeight="false" outlineLevel="0" collapsed="false">
      <c r="A48" s="2" t="s">
        <v>29</v>
      </c>
      <c r="B48" s="2" t="s">
        <v>30</v>
      </c>
      <c r="C48" s="2" t="n">
        <v>2025</v>
      </c>
      <c r="D48" s="2" t="n">
        <v>3</v>
      </c>
      <c r="E48" s="2" t="s">
        <v>52</v>
      </c>
      <c r="F48" s="3" t="n">
        <v>621</v>
      </c>
      <c r="G48" s="3" t="n">
        <v>199</v>
      </c>
      <c r="H48" s="3" t="n">
        <v>2027</v>
      </c>
      <c r="I48" s="3" t="n">
        <v>213</v>
      </c>
      <c r="J48" s="3" t="n">
        <v>1431991</v>
      </c>
      <c r="K48" s="3" t="n">
        <v>211775</v>
      </c>
      <c r="L48" s="3" t="n">
        <f aca="false">J48-K48</f>
        <v>1220216</v>
      </c>
    </row>
    <row r="49" customFormat="false" ht="15" hidden="false" customHeight="false" outlineLevel="0" collapsed="false">
      <c r="A49" s="2" t="s">
        <v>31</v>
      </c>
      <c r="B49" s="2" t="s">
        <v>32</v>
      </c>
      <c r="C49" s="2" t="n">
        <v>2025</v>
      </c>
      <c r="D49" s="2" t="n">
        <v>3</v>
      </c>
      <c r="E49" s="2" t="s">
        <v>52</v>
      </c>
      <c r="F49" s="3" t="n">
        <v>649</v>
      </c>
      <c r="G49" s="3" t="n">
        <v>113</v>
      </c>
      <c r="H49" s="3" t="n">
        <v>2261</v>
      </c>
      <c r="I49" s="3" t="n">
        <v>162</v>
      </c>
      <c r="J49" s="3" t="n">
        <v>1427223</v>
      </c>
      <c r="K49" s="3" t="n">
        <v>213801</v>
      </c>
      <c r="L49" s="3" t="n">
        <f aca="false">J49-K49</f>
        <v>1213422</v>
      </c>
    </row>
    <row r="50" customFormat="false" ht="15" hidden="false" customHeight="false" outlineLevel="0" collapsed="false">
      <c r="A50" s="2" t="s">
        <v>33</v>
      </c>
      <c r="B50" s="2" t="s">
        <v>34</v>
      </c>
      <c r="C50" s="2" t="n">
        <v>2025</v>
      </c>
      <c r="D50" s="2" t="n">
        <v>3</v>
      </c>
      <c r="E50" s="2" t="s">
        <v>52</v>
      </c>
      <c r="F50" s="3" t="n">
        <v>1934</v>
      </c>
      <c r="G50" s="3" t="n">
        <v>314</v>
      </c>
      <c r="H50" s="3" t="n">
        <v>3252</v>
      </c>
      <c r="I50" s="3" t="n">
        <v>434</v>
      </c>
      <c r="J50" s="3" t="n">
        <v>2177173</v>
      </c>
      <c r="K50" s="3" t="n">
        <v>119149</v>
      </c>
      <c r="L50" s="3" t="n">
        <f aca="false">J50-K50</f>
        <v>2058024</v>
      </c>
    </row>
    <row r="51" customFormat="false" ht="15" hidden="false" customHeight="false" outlineLevel="0" collapsed="false">
      <c r="A51" s="2" t="s">
        <v>35</v>
      </c>
      <c r="B51" s="2" t="s">
        <v>36</v>
      </c>
      <c r="C51" s="2" t="n">
        <v>2025</v>
      </c>
      <c r="D51" s="2" t="n">
        <v>3</v>
      </c>
      <c r="E51" s="2" t="s">
        <v>52</v>
      </c>
      <c r="F51" s="3" t="n">
        <v>501</v>
      </c>
      <c r="G51" s="3" t="n">
        <v>64</v>
      </c>
      <c r="H51" s="3" t="n">
        <v>1155</v>
      </c>
      <c r="I51" s="3" t="n">
        <v>138</v>
      </c>
      <c r="J51" s="3" t="n">
        <v>1260528</v>
      </c>
      <c r="K51" s="3" t="n">
        <v>116132</v>
      </c>
      <c r="L51" s="3" t="n">
        <f aca="false">J51-K51</f>
        <v>1144396</v>
      </c>
    </row>
    <row r="52" customFormat="false" ht="15" hidden="false" customHeight="false" outlineLevel="0" collapsed="false">
      <c r="A52" s="2" t="s">
        <v>37</v>
      </c>
      <c r="B52" s="2" t="s">
        <v>38</v>
      </c>
      <c r="C52" s="2" t="n">
        <v>2025</v>
      </c>
      <c r="D52" s="2" t="n">
        <v>3</v>
      </c>
      <c r="E52" s="2" t="s">
        <v>52</v>
      </c>
      <c r="F52" s="3" t="n">
        <v>463</v>
      </c>
      <c r="G52" s="3" t="n">
        <v>66</v>
      </c>
      <c r="H52" s="3" t="n">
        <v>997</v>
      </c>
      <c r="I52" s="3" t="n">
        <v>198</v>
      </c>
      <c r="J52" s="3" t="n">
        <v>651461</v>
      </c>
      <c r="K52" s="3" t="n">
        <v>97791</v>
      </c>
      <c r="L52" s="3" t="n">
        <f aca="false">J52-K52</f>
        <v>553670</v>
      </c>
    </row>
    <row r="53" customFormat="false" ht="15" hidden="false" customHeight="false" outlineLevel="0" collapsed="false">
      <c r="A53" s="2" t="s">
        <v>39</v>
      </c>
      <c r="B53" s="2" t="s">
        <v>40</v>
      </c>
      <c r="C53" s="2" t="n">
        <v>2025</v>
      </c>
      <c r="D53" s="2" t="n">
        <v>3</v>
      </c>
      <c r="E53" s="2" t="s">
        <v>52</v>
      </c>
      <c r="F53" s="3" t="n">
        <v>574</v>
      </c>
      <c r="G53" s="3" t="n">
        <v>65</v>
      </c>
      <c r="H53" s="3" t="n">
        <v>1544</v>
      </c>
      <c r="I53" s="3" t="n">
        <v>139</v>
      </c>
      <c r="J53" s="3" t="n">
        <v>892266</v>
      </c>
      <c r="K53" s="3" t="n">
        <v>111902</v>
      </c>
      <c r="L53" s="3" t="n">
        <f aca="false">J53-K53</f>
        <v>780364</v>
      </c>
    </row>
    <row r="54" customFormat="false" ht="15" hidden="false" customHeight="false" outlineLevel="0" collapsed="false">
      <c r="A54" s="2" t="s">
        <v>41</v>
      </c>
      <c r="B54" s="2" t="s">
        <v>42</v>
      </c>
      <c r="C54" s="2" t="n">
        <v>2025</v>
      </c>
      <c r="D54" s="2" t="n">
        <v>3</v>
      </c>
      <c r="E54" s="2" t="s">
        <v>52</v>
      </c>
      <c r="F54" s="3" t="n">
        <v>415</v>
      </c>
      <c r="G54" s="3" t="n">
        <v>63</v>
      </c>
      <c r="H54" s="3" t="n">
        <v>849</v>
      </c>
      <c r="I54" s="3" t="n">
        <v>126</v>
      </c>
      <c r="J54" s="3" t="n">
        <v>866673</v>
      </c>
      <c r="K54" s="3" t="n">
        <v>96252</v>
      </c>
      <c r="L54" s="3" t="n">
        <f aca="false">J54-K54</f>
        <v>770421</v>
      </c>
    </row>
    <row r="55" customFormat="false" ht="15" hidden="false" customHeight="false" outlineLevel="0" collapsed="false">
      <c r="A55" s="2" t="s">
        <v>43</v>
      </c>
      <c r="B55" s="2" t="s">
        <v>44</v>
      </c>
      <c r="C55" s="2" t="n">
        <v>2025</v>
      </c>
      <c r="D55" s="2" t="n">
        <v>3</v>
      </c>
      <c r="E55" s="2" t="s">
        <v>52</v>
      </c>
      <c r="F55" s="3" t="n">
        <v>1772</v>
      </c>
      <c r="G55" s="3" t="n">
        <v>199</v>
      </c>
      <c r="H55" s="3" t="n">
        <v>4033</v>
      </c>
      <c r="I55" s="3" t="n">
        <v>335</v>
      </c>
      <c r="J55" s="3" t="n">
        <v>2082413</v>
      </c>
      <c r="K55" s="3" t="n">
        <v>614737</v>
      </c>
      <c r="L55" s="3" t="n">
        <f aca="false">J55-K55</f>
        <v>1467676</v>
      </c>
    </row>
    <row r="56" customFormat="false" ht="15" hidden="false" customHeight="false" outlineLevel="0" collapsed="false">
      <c r="A56" s="2" t="s">
        <v>45</v>
      </c>
      <c r="B56" s="2" t="s">
        <v>46</v>
      </c>
      <c r="C56" s="2" t="n">
        <v>2025</v>
      </c>
      <c r="D56" s="2" t="n">
        <v>3</v>
      </c>
      <c r="E56" s="2" t="s">
        <v>52</v>
      </c>
      <c r="F56" s="3" t="n">
        <v>516</v>
      </c>
      <c r="G56" s="3" t="n">
        <v>76</v>
      </c>
      <c r="H56" s="3" t="n">
        <v>1363</v>
      </c>
      <c r="I56" s="3" t="n">
        <v>115</v>
      </c>
      <c r="J56" s="3" t="n">
        <v>1553251</v>
      </c>
      <c r="K56" s="3" t="n">
        <v>138449</v>
      </c>
      <c r="L56" s="3" t="n">
        <f aca="false">J56-K56</f>
        <v>1414802</v>
      </c>
    </row>
    <row r="57" customFormat="false" ht="15" hidden="false" customHeight="false" outlineLevel="0" collapsed="false">
      <c r="A57" s="2" t="s">
        <v>47</v>
      </c>
      <c r="B57" s="2" t="s">
        <v>48</v>
      </c>
      <c r="C57" s="2" t="n">
        <v>2025</v>
      </c>
      <c r="D57" s="2" t="n">
        <v>3</v>
      </c>
      <c r="E57" s="2" t="s">
        <v>52</v>
      </c>
      <c r="F57" s="3" t="n">
        <v>681</v>
      </c>
      <c r="G57" s="3" t="n">
        <v>64</v>
      </c>
      <c r="H57" s="3" t="n">
        <v>990</v>
      </c>
      <c r="I57" s="3" t="n">
        <v>149</v>
      </c>
      <c r="J57" s="3" t="n">
        <v>912763</v>
      </c>
      <c r="K57" s="3" t="n">
        <v>97573</v>
      </c>
      <c r="L57" s="3" t="n">
        <f aca="false">J57-K57</f>
        <v>815190</v>
      </c>
    </row>
    <row r="58" customFormat="false" ht="15" hidden="false" customHeight="false" outlineLevel="0" collapsed="false">
      <c r="A58" s="2" t="s">
        <v>49</v>
      </c>
      <c r="B58" s="2" t="s">
        <v>50</v>
      </c>
      <c r="C58" s="2" t="n">
        <v>2025</v>
      </c>
      <c r="D58" s="2" t="n">
        <v>3</v>
      </c>
      <c r="E58" s="2" t="s">
        <v>52</v>
      </c>
      <c r="F58" s="3" t="n">
        <v>1546</v>
      </c>
      <c r="G58" s="3" t="n">
        <v>161</v>
      </c>
      <c r="H58" s="3" t="n">
        <v>3501</v>
      </c>
      <c r="I58" s="3" t="n">
        <v>472</v>
      </c>
      <c r="J58" s="3" t="n">
        <v>2477761</v>
      </c>
      <c r="K58" s="3" t="n">
        <v>381007</v>
      </c>
      <c r="L58" s="3" t="n">
        <f aca="false">J58-K58</f>
        <v>2096754</v>
      </c>
    </row>
    <row r="59" customFormat="false" ht="15" hidden="false" customHeight="false" outlineLevel="0" collapsed="false">
      <c r="A59" s="2" t="s">
        <v>12</v>
      </c>
      <c r="B59" s="2" t="s">
        <v>13</v>
      </c>
      <c r="C59" s="2" t="n">
        <v>2025</v>
      </c>
      <c r="D59" s="2" t="n">
        <v>4</v>
      </c>
      <c r="E59" s="2" t="s">
        <v>53</v>
      </c>
      <c r="F59" s="3" t="n">
        <v>168694</v>
      </c>
      <c r="G59" s="3" t="n">
        <v>39005</v>
      </c>
      <c r="H59" s="3" t="n">
        <v>272936</v>
      </c>
      <c r="I59" s="3" t="n">
        <v>61957</v>
      </c>
      <c r="J59" s="3" t="n">
        <v>215207748</v>
      </c>
      <c r="K59" s="3" t="n">
        <v>44871314</v>
      </c>
      <c r="L59" s="3" t="n">
        <f aca="false">J59-K59</f>
        <v>170336434</v>
      </c>
    </row>
    <row r="60" customFormat="false" ht="15" hidden="false" customHeight="false" outlineLevel="0" collapsed="false">
      <c r="A60" s="2" t="s">
        <v>15</v>
      </c>
      <c r="B60" s="2" t="s">
        <v>16</v>
      </c>
      <c r="C60" s="2" t="n">
        <v>2025</v>
      </c>
      <c r="D60" s="2" t="n">
        <v>4</v>
      </c>
      <c r="E60" s="2" t="s">
        <v>53</v>
      </c>
      <c r="F60" s="3" t="n">
        <v>1587</v>
      </c>
      <c r="G60" s="3" t="n">
        <v>229</v>
      </c>
      <c r="H60" s="3" t="n">
        <v>3335</v>
      </c>
      <c r="I60" s="3" t="n">
        <v>380</v>
      </c>
      <c r="J60" s="3" t="n">
        <v>1904636</v>
      </c>
      <c r="K60" s="3" t="n">
        <v>354194</v>
      </c>
      <c r="L60" s="3" t="n">
        <f aca="false">J60-K60</f>
        <v>1550442</v>
      </c>
    </row>
    <row r="61" customFormat="false" ht="15" hidden="false" customHeight="false" outlineLevel="0" collapsed="false">
      <c r="A61" s="2" t="s">
        <v>17</v>
      </c>
      <c r="B61" s="2" t="s">
        <v>18</v>
      </c>
      <c r="C61" s="2" t="n">
        <v>2025</v>
      </c>
      <c r="D61" s="2" t="n">
        <v>4</v>
      </c>
      <c r="E61" s="2" t="s">
        <v>53</v>
      </c>
      <c r="F61" s="3" t="n">
        <v>1153</v>
      </c>
      <c r="G61" s="3" t="n">
        <v>137</v>
      </c>
      <c r="H61" s="3" t="n">
        <v>2267</v>
      </c>
      <c r="I61" s="3" t="n">
        <v>2869</v>
      </c>
      <c r="J61" s="3" t="n">
        <v>2043253</v>
      </c>
      <c r="K61" s="3" t="n">
        <v>264855</v>
      </c>
      <c r="L61" s="3" t="n">
        <f aca="false">J61-K61</f>
        <v>1778398</v>
      </c>
    </row>
    <row r="62" customFormat="false" ht="15" hidden="false" customHeight="false" outlineLevel="0" collapsed="false">
      <c r="A62" s="2" t="s">
        <v>19</v>
      </c>
      <c r="B62" s="2" t="s">
        <v>20</v>
      </c>
      <c r="C62" s="2" t="n">
        <v>2025</v>
      </c>
      <c r="D62" s="2" t="n">
        <v>4</v>
      </c>
      <c r="E62" s="2" t="s">
        <v>53</v>
      </c>
      <c r="F62" s="3" t="n">
        <v>300</v>
      </c>
      <c r="G62" s="3" t="n">
        <v>233</v>
      </c>
      <c r="H62" s="3" t="n">
        <v>900</v>
      </c>
      <c r="I62" s="3" t="n">
        <v>233</v>
      </c>
      <c r="J62" s="3" t="n">
        <v>686525</v>
      </c>
      <c r="K62" s="3" t="n">
        <v>72871</v>
      </c>
      <c r="L62" s="3" t="n">
        <f aca="false">J62-K62</f>
        <v>613654</v>
      </c>
    </row>
    <row r="63" customFormat="false" ht="15" hidden="false" customHeight="false" outlineLevel="0" collapsed="false">
      <c r="A63" s="2" t="s">
        <v>21</v>
      </c>
      <c r="B63" s="2" t="s">
        <v>22</v>
      </c>
      <c r="C63" s="2" t="n">
        <v>2025</v>
      </c>
      <c r="D63" s="2" t="n">
        <v>4</v>
      </c>
      <c r="E63" s="2" t="s">
        <v>53</v>
      </c>
      <c r="F63" s="3" t="n">
        <v>1872</v>
      </c>
      <c r="G63" s="3" t="n">
        <v>148</v>
      </c>
      <c r="H63" s="3" t="n">
        <v>2277</v>
      </c>
      <c r="I63" s="3" t="n">
        <v>180</v>
      </c>
      <c r="J63" s="3" t="n">
        <v>1817938</v>
      </c>
      <c r="K63" s="3" t="n">
        <v>276374</v>
      </c>
      <c r="L63" s="3" t="n">
        <f aca="false">J63-K63</f>
        <v>1541564</v>
      </c>
    </row>
    <row r="64" customFormat="false" ht="15" hidden="false" customHeight="false" outlineLevel="0" collapsed="false">
      <c r="A64" s="2" t="s">
        <v>23</v>
      </c>
      <c r="B64" s="2" t="s">
        <v>24</v>
      </c>
      <c r="C64" s="2" t="n">
        <v>2025</v>
      </c>
      <c r="D64" s="2" t="n">
        <v>4</v>
      </c>
      <c r="E64" s="2" t="s">
        <v>53</v>
      </c>
      <c r="F64" s="3" t="n">
        <v>150811</v>
      </c>
      <c r="G64" s="3" t="n">
        <v>36555</v>
      </c>
      <c r="H64" s="3" t="n">
        <v>234804</v>
      </c>
      <c r="I64" s="3" t="n">
        <v>55280</v>
      </c>
      <c r="J64" s="3" t="n">
        <v>187729580</v>
      </c>
      <c r="K64" s="3" t="n">
        <v>41254171</v>
      </c>
      <c r="L64" s="3" t="n">
        <f aca="false">J64-K64</f>
        <v>146475409</v>
      </c>
    </row>
    <row r="65" customFormat="false" ht="15" hidden="false" customHeight="false" outlineLevel="0" collapsed="false">
      <c r="A65" s="2" t="s">
        <v>25</v>
      </c>
      <c r="B65" s="2" t="s">
        <v>26</v>
      </c>
      <c r="C65" s="2" t="n">
        <v>2025</v>
      </c>
      <c r="D65" s="2" t="n">
        <v>4</v>
      </c>
      <c r="E65" s="2" t="s">
        <v>53</v>
      </c>
      <c r="F65" s="3" t="n">
        <v>119</v>
      </c>
      <c r="G65" s="3" t="n">
        <v>29</v>
      </c>
      <c r="H65" s="3" t="n">
        <v>222</v>
      </c>
      <c r="I65" s="3" t="n">
        <v>31</v>
      </c>
      <c r="J65" s="3" t="n">
        <v>262482</v>
      </c>
      <c r="K65" s="3" t="n">
        <v>10624</v>
      </c>
      <c r="L65" s="3" t="n">
        <f aca="false">J65-K65</f>
        <v>251858</v>
      </c>
    </row>
    <row r="66" customFormat="false" ht="15" hidden="false" customHeight="false" outlineLevel="0" collapsed="false">
      <c r="A66" s="2" t="s">
        <v>27</v>
      </c>
      <c r="B66" s="2" t="s">
        <v>28</v>
      </c>
      <c r="C66" s="2" t="n">
        <v>2025</v>
      </c>
      <c r="D66" s="2" t="n">
        <v>4</v>
      </c>
      <c r="E66" s="2" t="s">
        <v>53</v>
      </c>
      <c r="F66" s="3" t="n">
        <v>612</v>
      </c>
      <c r="G66" s="3" t="n">
        <v>92</v>
      </c>
      <c r="H66" s="3" t="n">
        <v>1276</v>
      </c>
      <c r="I66" s="3" t="n">
        <v>152</v>
      </c>
      <c r="J66" s="3" t="n">
        <v>801201</v>
      </c>
      <c r="K66" s="3" t="n">
        <v>110478</v>
      </c>
      <c r="L66" s="3" t="n">
        <f aca="false">J66-K66</f>
        <v>690723</v>
      </c>
    </row>
    <row r="67" customFormat="false" ht="15" hidden="false" customHeight="false" outlineLevel="0" collapsed="false">
      <c r="A67" s="2" t="s">
        <v>29</v>
      </c>
      <c r="B67" s="2" t="s">
        <v>30</v>
      </c>
      <c r="C67" s="2" t="n">
        <v>2025</v>
      </c>
      <c r="D67" s="2" t="n">
        <v>4</v>
      </c>
      <c r="E67" s="2" t="s">
        <v>53</v>
      </c>
      <c r="F67" s="3" t="n">
        <v>735</v>
      </c>
      <c r="G67" s="3" t="n">
        <v>196</v>
      </c>
      <c r="H67" s="3" t="n">
        <v>2413</v>
      </c>
      <c r="I67" s="3" t="n">
        <v>214</v>
      </c>
      <c r="J67" s="3" t="n">
        <v>1664662</v>
      </c>
      <c r="K67" s="3" t="n">
        <v>217912</v>
      </c>
      <c r="L67" s="3" t="n">
        <f aca="false">J67-K67</f>
        <v>1446750</v>
      </c>
    </row>
    <row r="68" customFormat="false" ht="15" hidden="false" customHeight="false" outlineLevel="0" collapsed="false">
      <c r="A68" s="2" t="s">
        <v>31</v>
      </c>
      <c r="B68" s="2" t="s">
        <v>32</v>
      </c>
      <c r="C68" s="2" t="n">
        <v>2025</v>
      </c>
      <c r="D68" s="2" t="n">
        <v>4</v>
      </c>
      <c r="E68" s="2" t="s">
        <v>53</v>
      </c>
      <c r="F68" s="3" t="n">
        <v>750</v>
      </c>
      <c r="G68" s="3" t="n">
        <v>153</v>
      </c>
      <c r="H68" s="3" t="n">
        <v>2632</v>
      </c>
      <c r="I68" s="3" t="n">
        <v>212</v>
      </c>
      <c r="J68" s="3" t="n">
        <v>1763624</v>
      </c>
      <c r="K68" s="3" t="n">
        <v>292230</v>
      </c>
      <c r="L68" s="3" t="n">
        <f aca="false">J68-K68</f>
        <v>1471394</v>
      </c>
    </row>
    <row r="69" customFormat="false" ht="15" hidden="false" customHeight="false" outlineLevel="0" collapsed="false">
      <c r="A69" s="2" t="s">
        <v>33</v>
      </c>
      <c r="B69" s="2" t="s">
        <v>34</v>
      </c>
      <c r="C69" s="2" t="n">
        <v>2025</v>
      </c>
      <c r="D69" s="2" t="n">
        <v>4</v>
      </c>
      <c r="E69" s="2" t="s">
        <v>53</v>
      </c>
      <c r="F69" s="3" t="n">
        <v>2500</v>
      </c>
      <c r="G69" s="3" t="n">
        <v>345</v>
      </c>
      <c r="H69" s="3" t="n">
        <v>4231</v>
      </c>
      <c r="I69" s="3" t="n">
        <v>485</v>
      </c>
      <c r="J69" s="3" t="n">
        <v>2907002</v>
      </c>
      <c r="K69" s="3" t="n">
        <v>126896</v>
      </c>
      <c r="L69" s="3" t="n">
        <f aca="false">J69-K69</f>
        <v>2780106</v>
      </c>
    </row>
    <row r="70" customFormat="false" ht="15" hidden="false" customHeight="false" outlineLevel="0" collapsed="false">
      <c r="A70" s="2" t="s">
        <v>35</v>
      </c>
      <c r="B70" s="2" t="s">
        <v>36</v>
      </c>
      <c r="C70" s="2" t="n">
        <v>2025</v>
      </c>
      <c r="D70" s="2" t="n">
        <v>4</v>
      </c>
      <c r="E70" s="2" t="s">
        <v>53</v>
      </c>
      <c r="F70" s="3" t="n">
        <v>671</v>
      </c>
      <c r="G70" s="3" t="n">
        <v>87</v>
      </c>
      <c r="H70" s="3" t="n">
        <v>1547</v>
      </c>
      <c r="I70" s="3" t="n">
        <v>190</v>
      </c>
      <c r="J70" s="3" t="n">
        <v>1793200</v>
      </c>
      <c r="K70" s="3" t="n">
        <v>157800</v>
      </c>
      <c r="L70" s="3" t="n">
        <f aca="false">J70-K70</f>
        <v>1635400</v>
      </c>
    </row>
    <row r="71" customFormat="false" ht="15" hidden="false" customHeight="false" outlineLevel="0" collapsed="false">
      <c r="A71" s="2" t="s">
        <v>37</v>
      </c>
      <c r="B71" s="2" t="s">
        <v>38</v>
      </c>
      <c r="C71" s="2" t="n">
        <v>2025</v>
      </c>
      <c r="D71" s="2" t="n">
        <v>4</v>
      </c>
      <c r="E71" s="2" t="s">
        <v>53</v>
      </c>
      <c r="F71" s="3" t="n">
        <v>638</v>
      </c>
      <c r="G71" s="3" t="n">
        <v>79</v>
      </c>
      <c r="H71" s="3" t="n">
        <v>1390</v>
      </c>
      <c r="I71" s="3" t="n">
        <v>231</v>
      </c>
      <c r="J71" s="3" t="n">
        <v>888842</v>
      </c>
      <c r="K71" s="3" t="n">
        <v>118052</v>
      </c>
      <c r="L71" s="3" t="n">
        <f aca="false">J71-K71</f>
        <v>770790</v>
      </c>
    </row>
    <row r="72" customFormat="false" ht="15" hidden="false" customHeight="false" outlineLevel="0" collapsed="false">
      <c r="A72" s="2" t="s">
        <v>39</v>
      </c>
      <c r="B72" s="2" t="s">
        <v>40</v>
      </c>
      <c r="C72" s="2" t="n">
        <v>2025</v>
      </c>
      <c r="D72" s="2" t="n">
        <v>4</v>
      </c>
      <c r="E72" s="2" t="s">
        <v>53</v>
      </c>
      <c r="F72" s="3" t="n">
        <v>692</v>
      </c>
      <c r="G72" s="3" t="n">
        <v>82</v>
      </c>
      <c r="H72" s="3" t="n">
        <v>1851</v>
      </c>
      <c r="I72" s="3" t="n">
        <v>166</v>
      </c>
      <c r="J72" s="3" t="n">
        <v>1090776</v>
      </c>
      <c r="K72" s="3" t="n">
        <v>146980</v>
      </c>
      <c r="L72" s="3" t="n">
        <f aca="false">J72-K72</f>
        <v>943796</v>
      </c>
    </row>
    <row r="73" customFormat="false" ht="15" hidden="false" customHeight="false" outlineLevel="0" collapsed="false">
      <c r="A73" s="2" t="s">
        <v>41</v>
      </c>
      <c r="B73" s="2" t="s">
        <v>42</v>
      </c>
      <c r="C73" s="2" t="n">
        <v>2025</v>
      </c>
      <c r="D73" s="2" t="n">
        <v>4</v>
      </c>
      <c r="E73" s="2" t="s">
        <v>53</v>
      </c>
      <c r="F73" s="3" t="n">
        <v>537</v>
      </c>
      <c r="G73" s="3" t="n">
        <v>77</v>
      </c>
      <c r="H73" s="3" t="n">
        <v>1110</v>
      </c>
      <c r="I73" s="3" t="n">
        <v>152</v>
      </c>
      <c r="J73" s="3" t="n">
        <v>1065443</v>
      </c>
      <c r="K73" s="3" t="n">
        <v>111508</v>
      </c>
      <c r="L73" s="3" t="n">
        <f aca="false">J73-K73</f>
        <v>953935</v>
      </c>
    </row>
    <row r="74" customFormat="false" ht="15" hidden="false" customHeight="false" outlineLevel="0" collapsed="false">
      <c r="A74" s="2" t="s">
        <v>43</v>
      </c>
      <c r="B74" s="2" t="s">
        <v>44</v>
      </c>
      <c r="C74" s="2" t="n">
        <v>2025</v>
      </c>
      <c r="D74" s="2" t="n">
        <v>4</v>
      </c>
      <c r="E74" s="2" t="s">
        <v>53</v>
      </c>
      <c r="F74" s="3" t="n">
        <v>2399</v>
      </c>
      <c r="G74" s="3" t="n">
        <v>241</v>
      </c>
      <c r="H74" s="3" t="n">
        <v>5574</v>
      </c>
      <c r="I74" s="3" t="n">
        <v>401</v>
      </c>
      <c r="J74" s="3" t="n">
        <v>2799614</v>
      </c>
      <c r="K74" s="3" t="n">
        <v>709014</v>
      </c>
      <c r="L74" s="3" t="n">
        <f aca="false">J74-K74</f>
        <v>2090600</v>
      </c>
    </row>
    <row r="75" customFormat="false" ht="15" hidden="false" customHeight="false" outlineLevel="0" collapsed="false">
      <c r="A75" s="2" t="s">
        <v>45</v>
      </c>
      <c r="B75" s="2" t="s">
        <v>46</v>
      </c>
      <c r="C75" s="2" t="n">
        <v>2025</v>
      </c>
      <c r="D75" s="2" t="n">
        <v>4</v>
      </c>
      <c r="E75" s="2" t="s">
        <v>53</v>
      </c>
      <c r="F75" s="3" t="n">
        <v>666</v>
      </c>
      <c r="G75" s="3" t="n">
        <v>90</v>
      </c>
      <c r="H75" s="3" t="n">
        <v>1745</v>
      </c>
      <c r="I75" s="3" t="n">
        <v>139</v>
      </c>
      <c r="J75" s="3" t="n">
        <v>1952665</v>
      </c>
      <c r="K75" s="3" t="n">
        <v>158081</v>
      </c>
      <c r="L75" s="3" t="n">
        <f aca="false">J75-K75</f>
        <v>1794584</v>
      </c>
    </row>
    <row r="76" customFormat="false" ht="15" hidden="false" customHeight="false" outlineLevel="0" collapsed="false">
      <c r="A76" s="2" t="s">
        <v>47</v>
      </c>
      <c r="B76" s="2" t="s">
        <v>48</v>
      </c>
      <c r="C76" s="2" t="n">
        <v>2025</v>
      </c>
      <c r="D76" s="2" t="n">
        <v>4</v>
      </c>
      <c r="E76" s="2" t="s">
        <v>53</v>
      </c>
      <c r="F76" s="3" t="n">
        <v>834</v>
      </c>
      <c r="G76" s="3" t="n">
        <v>72</v>
      </c>
      <c r="H76" s="3" t="n">
        <v>1227</v>
      </c>
      <c r="I76" s="3" t="n">
        <v>165</v>
      </c>
      <c r="J76" s="3" t="n">
        <v>1063162</v>
      </c>
      <c r="K76" s="3" t="n">
        <v>114448</v>
      </c>
      <c r="L76" s="3" t="n">
        <f aca="false">J76-K76</f>
        <v>948714</v>
      </c>
    </row>
    <row r="77" customFormat="false" ht="15" hidden="false" customHeight="false" outlineLevel="0" collapsed="false">
      <c r="A77" s="2" t="s">
        <v>49</v>
      </c>
      <c r="B77" s="2" t="s">
        <v>50</v>
      </c>
      <c r="C77" s="2" t="n">
        <v>2025</v>
      </c>
      <c r="D77" s="2" t="n">
        <v>4</v>
      </c>
      <c r="E77" s="2" t="s">
        <v>53</v>
      </c>
      <c r="F77" s="3" t="n">
        <v>1818</v>
      </c>
      <c r="G77" s="3" t="n">
        <v>160</v>
      </c>
      <c r="H77" s="3" t="n">
        <v>4135</v>
      </c>
      <c r="I77" s="3" t="n">
        <v>477</v>
      </c>
      <c r="J77" s="3" t="n">
        <v>2973143</v>
      </c>
      <c r="K77" s="3" t="n">
        <v>374826</v>
      </c>
      <c r="L77" s="3" t="n">
        <f aca="false">J77-K77</f>
        <v>2598317</v>
      </c>
    </row>
    <row r="78" customFormat="false" ht="15" hidden="false" customHeight="false" outlineLevel="0" collapsed="false">
      <c r="A78" s="2" t="s">
        <v>12</v>
      </c>
      <c r="B78" s="2" t="s">
        <v>13</v>
      </c>
      <c r="C78" s="2" t="n">
        <v>2025</v>
      </c>
      <c r="D78" s="2" t="n">
        <v>5</v>
      </c>
      <c r="E78" s="2" t="s">
        <v>54</v>
      </c>
      <c r="F78" s="3" t="n">
        <v>210170</v>
      </c>
      <c r="G78" s="3" t="n">
        <v>44156</v>
      </c>
      <c r="H78" s="3" t="n">
        <v>329392</v>
      </c>
      <c r="I78" s="3" t="n">
        <v>68563</v>
      </c>
      <c r="J78" s="3" t="n">
        <v>264094830</v>
      </c>
      <c r="K78" s="3" t="n">
        <v>51426855</v>
      </c>
      <c r="L78" s="3" t="n">
        <f aca="false">J78-K78</f>
        <v>212667975</v>
      </c>
    </row>
    <row r="79" customFormat="false" ht="15" hidden="false" customHeight="false" outlineLevel="0" collapsed="false">
      <c r="A79" s="2" t="s">
        <v>15</v>
      </c>
      <c r="B79" s="2" t="s">
        <v>16</v>
      </c>
      <c r="C79" s="2" t="n">
        <v>2025</v>
      </c>
      <c r="D79" s="2" t="n">
        <v>5</v>
      </c>
      <c r="E79" s="2" t="s">
        <v>54</v>
      </c>
      <c r="F79" s="3" t="n">
        <v>1640</v>
      </c>
      <c r="G79" s="3" t="n">
        <v>262</v>
      </c>
      <c r="H79" s="3" t="n">
        <v>3408</v>
      </c>
      <c r="I79" s="3" t="n">
        <v>445</v>
      </c>
      <c r="J79" s="3" t="n">
        <v>1867405</v>
      </c>
      <c r="K79" s="3" t="n">
        <v>420518</v>
      </c>
      <c r="L79" s="3" t="n">
        <f aca="false">J79-K79</f>
        <v>1446887</v>
      </c>
    </row>
    <row r="80" customFormat="false" ht="15" hidden="false" customHeight="false" outlineLevel="0" collapsed="false">
      <c r="A80" s="2" t="s">
        <v>17</v>
      </c>
      <c r="B80" s="2" t="s">
        <v>18</v>
      </c>
      <c r="C80" s="2" t="n">
        <v>2025</v>
      </c>
      <c r="D80" s="2" t="n">
        <v>5</v>
      </c>
      <c r="E80" s="2" t="s">
        <v>54</v>
      </c>
      <c r="F80" s="3" t="n">
        <v>1289</v>
      </c>
      <c r="G80" s="3" t="n">
        <v>161</v>
      </c>
      <c r="H80" s="3" t="n">
        <v>2643</v>
      </c>
      <c r="I80" s="3" t="n">
        <v>3524</v>
      </c>
      <c r="J80" s="3" t="n">
        <v>2348135</v>
      </c>
      <c r="K80" s="3" t="n">
        <v>329430</v>
      </c>
      <c r="L80" s="3" t="n">
        <f aca="false">J80-K80</f>
        <v>2018705</v>
      </c>
    </row>
    <row r="81" customFormat="false" ht="15" hidden="false" customHeight="false" outlineLevel="0" collapsed="false">
      <c r="A81" s="2" t="s">
        <v>19</v>
      </c>
      <c r="B81" s="2" t="s">
        <v>20</v>
      </c>
      <c r="C81" s="2" t="n">
        <v>2025</v>
      </c>
      <c r="D81" s="2" t="n">
        <v>5</v>
      </c>
      <c r="E81" s="2" t="s">
        <v>54</v>
      </c>
      <c r="F81" s="3" t="n">
        <v>309</v>
      </c>
      <c r="G81" s="3" t="n">
        <v>238</v>
      </c>
      <c r="H81" s="3" t="n">
        <v>923</v>
      </c>
      <c r="I81" s="3" t="n">
        <v>238</v>
      </c>
      <c r="J81" s="3" t="n">
        <v>701241</v>
      </c>
      <c r="K81" s="3" t="n">
        <v>72572</v>
      </c>
      <c r="L81" s="3" t="n">
        <f aca="false">J81-K81</f>
        <v>628669</v>
      </c>
    </row>
    <row r="82" customFormat="false" ht="15" hidden="false" customHeight="false" outlineLevel="0" collapsed="false">
      <c r="A82" s="2" t="s">
        <v>21</v>
      </c>
      <c r="B82" s="2" t="s">
        <v>22</v>
      </c>
      <c r="C82" s="2" t="n">
        <v>2025</v>
      </c>
      <c r="D82" s="2" t="n">
        <v>5</v>
      </c>
      <c r="E82" s="2" t="s">
        <v>54</v>
      </c>
      <c r="F82" s="3" t="n">
        <v>2020</v>
      </c>
      <c r="G82" s="3" t="n">
        <v>168</v>
      </c>
      <c r="H82" s="3" t="n">
        <v>2469</v>
      </c>
      <c r="I82" s="3" t="n">
        <v>209</v>
      </c>
      <c r="J82" s="3" t="n">
        <v>2026233</v>
      </c>
      <c r="K82" s="3" t="n">
        <v>302238</v>
      </c>
      <c r="L82" s="3" t="n">
        <f aca="false">J82-K82</f>
        <v>1723995</v>
      </c>
    </row>
    <row r="83" customFormat="false" ht="15" hidden="false" customHeight="false" outlineLevel="0" collapsed="false">
      <c r="A83" s="2" t="s">
        <v>23</v>
      </c>
      <c r="B83" s="2" t="s">
        <v>24</v>
      </c>
      <c r="C83" s="2" t="n">
        <v>2025</v>
      </c>
      <c r="D83" s="2" t="n">
        <v>5</v>
      </c>
      <c r="E83" s="2" t="s">
        <v>54</v>
      </c>
      <c r="F83" s="3" t="n">
        <v>190304</v>
      </c>
      <c r="G83" s="3" t="n">
        <v>41453</v>
      </c>
      <c r="H83" s="3" t="n">
        <v>287029</v>
      </c>
      <c r="I83" s="3" t="n">
        <v>60869</v>
      </c>
      <c r="J83" s="3" t="n">
        <v>233147183</v>
      </c>
      <c r="K83" s="3" t="n">
        <v>47323849</v>
      </c>
      <c r="L83" s="3" t="n">
        <f aca="false">J83-K83</f>
        <v>185823334</v>
      </c>
    </row>
    <row r="84" customFormat="false" ht="15" hidden="false" customHeight="false" outlineLevel="0" collapsed="false">
      <c r="A84" s="2" t="s">
        <v>25</v>
      </c>
      <c r="B84" s="2" t="s">
        <v>26</v>
      </c>
      <c r="C84" s="2" t="n">
        <v>2025</v>
      </c>
      <c r="D84" s="2" t="n">
        <v>5</v>
      </c>
      <c r="E84" s="2" t="s">
        <v>54</v>
      </c>
      <c r="F84" s="3" t="n">
        <v>140</v>
      </c>
      <c r="G84" s="3" t="n">
        <v>36</v>
      </c>
      <c r="H84" s="3" t="n">
        <v>249</v>
      </c>
      <c r="I84" s="3" t="n">
        <v>40</v>
      </c>
      <c r="J84" s="3" t="n">
        <v>302854</v>
      </c>
      <c r="K84" s="3" t="n">
        <v>13263</v>
      </c>
      <c r="L84" s="3" t="n">
        <f aca="false">J84-K84</f>
        <v>289591</v>
      </c>
    </row>
    <row r="85" customFormat="false" ht="15" hidden="false" customHeight="false" outlineLevel="0" collapsed="false">
      <c r="A85" s="2" t="s">
        <v>27</v>
      </c>
      <c r="B85" s="2" t="s">
        <v>28</v>
      </c>
      <c r="C85" s="2" t="n">
        <v>2025</v>
      </c>
      <c r="D85" s="2" t="n">
        <v>5</v>
      </c>
      <c r="E85" s="2" t="s">
        <v>54</v>
      </c>
      <c r="F85" s="3" t="n">
        <v>614</v>
      </c>
      <c r="G85" s="3" t="n">
        <v>93</v>
      </c>
      <c r="H85" s="3" t="n">
        <v>1266</v>
      </c>
      <c r="I85" s="3" t="n">
        <v>153</v>
      </c>
      <c r="J85" s="3" t="n">
        <v>838318</v>
      </c>
      <c r="K85" s="3" t="n">
        <v>111878</v>
      </c>
      <c r="L85" s="3" t="n">
        <f aca="false">J85-K85</f>
        <v>726440</v>
      </c>
    </row>
    <row r="86" customFormat="false" ht="15" hidden="false" customHeight="false" outlineLevel="0" collapsed="false">
      <c r="A86" s="2" t="s">
        <v>29</v>
      </c>
      <c r="B86" s="2" t="s">
        <v>30</v>
      </c>
      <c r="C86" s="2" t="n">
        <v>2025</v>
      </c>
      <c r="D86" s="2" t="n">
        <v>5</v>
      </c>
      <c r="E86" s="2" t="s">
        <v>54</v>
      </c>
      <c r="F86" s="3" t="n">
        <v>832</v>
      </c>
      <c r="G86" s="3" t="n">
        <v>243</v>
      </c>
      <c r="H86" s="3" t="n">
        <v>2678</v>
      </c>
      <c r="I86" s="3" t="n">
        <v>261</v>
      </c>
      <c r="J86" s="3" t="n">
        <v>1866618</v>
      </c>
      <c r="K86" s="3" t="n">
        <v>270164</v>
      </c>
      <c r="L86" s="3" t="n">
        <f aca="false">J86-K86</f>
        <v>1596454</v>
      </c>
    </row>
    <row r="87" customFormat="false" ht="15" hidden="false" customHeight="false" outlineLevel="0" collapsed="false">
      <c r="A87" s="2" t="s">
        <v>31</v>
      </c>
      <c r="B87" s="2" t="s">
        <v>32</v>
      </c>
      <c r="C87" s="2" t="n">
        <v>2025</v>
      </c>
      <c r="D87" s="2" t="n">
        <v>5</v>
      </c>
      <c r="E87" s="2" t="s">
        <v>54</v>
      </c>
      <c r="F87" s="3" t="n">
        <v>861</v>
      </c>
      <c r="G87" s="3" t="n">
        <v>152</v>
      </c>
      <c r="H87" s="3" t="n">
        <v>2920</v>
      </c>
      <c r="I87" s="3" t="n">
        <v>213</v>
      </c>
      <c r="J87" s="3" t="n">
        <v>2014044</v>
      </c>
      <c r="K87" s="3" t="n">
        <v>286441</v>
      </c>
      <c r="L87" s="3" t="n">
        <f aca="false">J87-K87</f>
        <v>1727603</v>
      </c>
    </row>
    <row r="88" customFormat="false" ht="15" hidden="false" customHeight="false" outlineLevel="0" collapsed="false">
      <c r="A88" s="2" t="s">
        <v>33</v>
      </c>
      <c r="B88" s="2" t="s">
        <v>34</v>
      </c>
      <c r="C88" s="2" t="n">
        <v>2025</v>
      </c>
      <c r="D88" s="2" t="n">
        <v>5</v>
      </c>
      <c r="E88" s="2" t="s">
        <v>54</v>
      </c>
      <c r="F88" s="3" t="n">
        <v>2800</v>
      </c>
      <c r="G88" s="3" t="n">
        <v>370</v>
      </c>
      <c r="H88" s="3" t="n">
        <v>4694</v>
      </c>
      <c r="I88" s="3" t="n">
        <v>509</v>
      </c>
      <c r="J88" s="3" t="n">
        <v>3191631</v>
      </c>
      <c r="K88" s="3" t="n">
        <v>137703</v>
      </c>
      <c r="L88" s="3" t="n">
        <f aca="false">J88-K88</f>
        <v>3053928</v>
      </c>
    </row>
    <row r="89" customFormat="false" ht="15" hidden="false" customHeight="false" outlineLevel="0" collapsed="false">
      <c r="A89" s="2" t="s">
        <v>35</v>
      </c>
      <c r="B89" s="2" t="s">
        <v>36</v>
      </c>
      <c r="C89" s="2" t="n">
        <v>2025</v>
      </c>
      <c r="D89" s="2" t="n">
        <v>5</v>
      </c>
      <c r="E89" s="2" t="s">
        <v>54</v>
      </c>
      <c r="F89" s="3" t="n">
        <v>726</v>
      </c>
      <c r="G89" s="3" t="n">
        <v>86</v>
      </c>
      <c r="H89" s="3" t="n">
        <v>1627</v>
      </c>
      <c r="I89" s="3" t="n">
        <v>186</v>
      </c>
      <c r="J89" s="3" t="n">
        <v>1843068</v>
      </c>
      <c r="K89" s="3" t="n">
        <v>155442</v>
      </c>
      <c r="L89" s="3" t="n">
        <f aca="false">J89-K89</f>
        <v>1687626</v>
      </c>
    </row>
    <row r="90" customFormat="false" ht="15" hidden="false" customHeight="false" outlineLevel="0" collapsed="false">
      <c r="A90" s="2" t="s">
        <v>37</v>
      </c>
      <c r="B90" s="2" t="s">
        <v>38</v>
      </c>
      <c r="C90" s="2" t="n">
        <v>2025</v>
      </c>
      <c r="D90" s="2" t="n">
        <v>5</v>
      </c>
      <c r="E90" s="2" t="s">
        <v>54</v>
      </c>
      <c r="F90" s="3" t="n">
        <v>715</v>
      </c>
      <c r="G90" s="3" t="n">
        <v>79</v>
      </c>
      <c r="H90" s="3" t="n">
        <v>1503</v>
      </c>
      <c r="I90" s="3" t="n">
        <v>227</v>
      </c>
      <c r="J90" s="3" t="n">
        <v>1018423</v>
      </c>
      <c r="K90" s="3" t="n">
        <v>117735</v>
      </c>
      <c r="L90" s="3" t="n">
        <f aca="false">J90-K90</f>
        <v>900688</v>
      </c>
    </row>
    <row r="91" customFormat="false" ht="15" hidden="false" customHeight="false" outlineLevel="0" collapsed="false">
      <c r="A91" s="2" t="s">
        <v>39</v>
      </c>
      <c r="B91" s="2" t="s">
        <v>40</v>
      </c>
      <c r="C91" s="2" t="n">
        <v>2025</v>
      </c>
      <c r="D91" s="2" t="n">
        <v>5</v>
      </c>
      <c r="E91" s="2" t="s">
        <v>54</v>
      </c>
      <c r="F91" s="3" t="n">
        <v>857</v>
      </c>
      <c r="G91" s="3" t="n">
        <v>91</v>
      </c>
      <c r="H91" s="3" t="n">
        <v>2323</v>
      </c>
      <c r="I91" s="3" t="n">
        <v>194</v>
      </c>
      <c r="J91" s="3" t="n">
        <v>1421389</v>
      </c>
      <c r="K91" s="3" t="n">
        <v>159985</v>
      </c>
      <c r="L91" s="3" t="n">
        <f aca="false">J91-K91</f>
        <v>1261404</v>
      </c>
    </row>
    <row r="92" customFormat="false" ht="15" hidden="false" customHeight="false" outlineLevel="0" collapsed="false">
      <c r="A92" s="2" t="s">
        <v>41</v>
      </c>
      <c r="B92" s="2" t="s">
        <v>42</v>
      </c>
      <c r="C92" s="2" t="n">
        <v>2025</v>
      </c>
      <c r="D92" s="2" t="n">
        <v>5</v>
      </c>
      <c r="E92" s="2" t="s">
        <v>54</v>
      </c>
      <c r="F92" s="3" t="n">
        <v>568</v>
      </c>
      <c r="G92" s="3" t="n">
        <v>76</v>
      </c>
      <c r="H92" s="3" t="n">
        <v>1164</v>
      </c>
      <c r="I92" s="3" t="n">
        <v>149</v>
      </c>
      <c r="J92" s="3" t="n">
        <v>1170522</v>
      </c>
      <c r="K92" s="3" t="n">
        <v>113062</v>
      </c>
      <c r="L92" s="3" t="n">
        <f aca="false">J92-K92</f>
        <v>1057460</v>
      </c>
    </row>
    <row r="93" customFormat="false" ht="15" hidden="false" customHeight="false" outlineLevel="0" collapsed="false">
      <c r="A93" s="2" t="s">
        <v>43</v>
      </c>
      <c r="B93" s="2" t="s">
        <v>44</v>
      </c>
      <c r="C93" s="2" t="n">
        <v>2025</v>
      </c>
      <c r="D93" s="2" t="n">
        <v>5</v>
      </c>
      <c r="E93" s="2" t="s">
        <v>54</v>
      </c>
      <c r="F93" s="3" t="n">
        <v>2648</v>
      </c>
      <c r="G93" s="3" t="n">
        <v>267</v>
      </c>
      <c r="H93" s="3" t="n">
        <v>6146</v>
      </c>
      <c r="I93" s="3" t="n">
        <v>429</v>
      </c>
      <c r="J93" s="3" t="n">
        <v>3252307</v>
      </c>
      <c r="K93" s="3" t="n">
        <v>818464</v>
      </c>
      <c r="L93" s="3" t="n">
        <f aca="false">J93-K93</f>
        <v>2433843</v>
      </c>
    </row>
    <row r="94" customFormat="false" ht="15" hidden="false" customHeight="false" outlineLevel="0" collapsed="false">
      <c r="A94" s="2" t="s">
        <v>45</v>
      </c>
      <c r="B94" s="2" t="s">
        <v>46</v>
      </c>
      <c r="C94" s="2" t="n">
        <v>2025</v>
      </c>
      <c r="D94" s="2" t="n">
        <v>5</v>
      </c>
      <c r="E94" s="2" t="s">
        <v>54</v>
      </c>
      <c r="F94" s="3" t="n">
        <v>747</v>
      </c>
      <c r="G94" s="3" t="n">
        <v>101</v>
      </c>
      <c r="H94" s="3" t="n">
        <v>2053</v>
      </c>
      <c r="I94" s="3" t="n">
        <v>157</v>
      </c>
      <c r="J94" s="3" t="n">
        <v>2296668</v>
      </c>
      <c r="K94" s="3" t="n">
        <v>187347</v>
      </c>
      <c r="L94" s="3" t="n">
        <f aca="false">J94-K94</f>
        <v>2109321</v>
      </c>
    </row>
    <row r="95" customFormat="false" ht="15" hidden="false" customHeight="false" outlineLevel="0" collapsed="false">
      <c r="A95" s="2" t="s">
        <v>47</v>
      </c>
      <c r="B95" s="2" t="s">
        <v>48</v>
      </c>
      <c r="C95" s="2" t="n">
        <v>2025</v>
      </c>
      <c r="D95" s="2" t="n">
        <v>5</v>
      </c>
      <c r="E95" s="2" t="s">
        <v>54</v>
      </c>
      <c r="F95" s="3" t="n">
        <v>842</v>
      </c>
      <c r="G95" s="3" t="n">
        <v>70</v>
      </c>
      <c r="H95" s="3" t="n">
        <v>1242</v>
      </c>
      <c r="I95" s="3" t="n">
        <v>160</v>
      </c>
      <c r="J95" s="3" t="n">
        <v>1071438</v>
      </c>
      <c r="K95" s="3" t="n">
        <v>113828</v>
      </c>
      <c r="L95" s="3" t="n">
        <f aca="false">J95-K95</f>
        <v>957610</v>
      </c>
    </row>
    <row r="96" customFormat="false" ht="15" hidden="false" customHeight="false" outlineLevel="0" collapsed="false">
      <c r="A96" s="2" t="s">
        <v>49</v>
      </c>
      <c r="B96" s="2" t="s">
        <v>50</v>
      </c>
      <c r="C96" s="2" t="n">
        <v>2025</v>
      </c>
      <c r="D96" s="2" t="n">
        <v>5</v>
      </c>
      <c r="E96" s="2" t="s">
        <v>54</v>
      </c>
      <c r="F96" s="3" t="n">
        <v>2258</v>
      </c>
      <c r="G96" s="3" t="n">
        <v>210</v>
      </c>
      <c r="H96" s="3" t="n">
        <v>5055</v>
      </c>
      <c r="I96" s="3" t="n">
        <v>600</v>
      </c>
      <c r="J96" s="3" t="n">
        <v>3717353</v>
      </c>
      <c r="K96" s="3" t="n">
        <v>492936</v>
      </c>
      <c r="L96" s="3" t="n">
        <f aca="false">J96-K96</f>
        <v>3224417</v>
      </c>
    </row>
    <row r="97" customFormat="false" ht="15" hidden="false" customHeight="false" outlineLevel="0" collapsed="false">
      <c r="A97" s="2" t="s">
        <v>12</v>
      </c>
      <c r="B97" s="2" t="s">
        <v>13</v>
      </c>
      <c r="C97" s="2" t="n">
        <v>2025</v>
      </c>
      <c r="D97" s="2" t="n">
        <v>6</v>
      </c>
      <c r="E97" s="2" t="s">
        <v>55</v>
      </c>
      <c r="F97" s="3" t="n">
        <v>176705</v>
      </c>
      <c r="G97" s="3" t="n">
        <v>41862</v>
      </c>
      <c r="H97" s="3" t="n">
        <v>271602</v>
      </c>
      <c r="I97" s="3" t="n">
        <v>64035</v>
      </c>
      <c r="J97" s="3" t="n">
        <v>217432955</v>
      </c>
      <c r="K97" s="3" t="n">
        <v>46103851</v>
      </c>
      <c r="L97" s="3" t="n">
        <f aca="false">J97-K97</f>
        <v>171329104</v>
      </c>
    </row>
    <row r="98" customFormat="false" ht="15" hidden="false" customHeight="false" outlineLevel="0" collapsed="false">
      <c r="A98" s="2" t="s">
        <v>15</v>
      </c>
      <c r="B98" s="2" t="s">
        <v>16</v>
      </c>
      <c r="C98" s="2" t="n">
        <v>2025</v>
      </c>
      <c r="D98" s="2" t="n">
        <v>6</v>
      </c>
      <c r="E98" s="2" t="s">
        <v>55</v>
      </c>
      <c r="F98" s="3" t="n">
        <v>1476</v>
      </c>
      <c r="G98" s="3" t="n">
        <v>249</v>
      </c>
      <c r="H98" s="3" t="n">
        <v>3093</v>
      </c>
      <c r="I98" s="3" t="n">
        <v>427</v>
      </c>
      <c r="J98" s="3" t="n">
        <v>1719394</v>
      </c>
      <c r="K98" s="3" t="n">
        <v>387602</v>
      </c>
      <c r="L98" s="3" t="n">
        <f aca="false">J98-K98</f>
        <v>1331792</v>
      </c>
    </row>
    <row r="99" customFormat="false" ht="15" hidden="false" customHeight="false" outlineLevel="0" collapsed="false">
      <c r="A99" s="2" t="s">
        <v>17</v>
      </c>
      <c r="B99" s="2" t="s">
        <v>18</v>
      </c>
      <c r="C99" s="2" t="n">
        <v>2025</v>
      </c>
      <c r="D99" s="2" t="n">
        <v>6</v>
      </c>
      <c r="E99" s="2" t="s">
        <v>55</v>
      </c>
      <c r="F99" s="3" t="n">
        <v>1036</v>
      </c>
      <c r="G99" s="3" t="n">
        <v>132</v>
      </c>
      <c r="H99" s="3" t="n">
        <v>2109</v>
      </c>
      <c r="I99" s="3" t="n">
        <v>2783</v>
      </c>
      <c r="J99" s="3" t="n">
        <v>1925966</v>
      </c>
      <c r="K99" s="3" t="n">
        <v>263123</v>
      </c>
      <c r="L99" s="3" t="n">
        <f aca="false">J99-K99</f>
        <v>1662843</v>
      </c>
    </row>
    <row r="100" customFormat="false" ht="15" hidden="false" customHeight="false" outlineLevel="0" collapsed="false">
      <c r="A100" s="2" t="s">
        <v>19</v>
      </c>
      <c r="B100" s="2" t="s">
        <v>20</v>
      </c>
      <c r="C100" s="2" t="n">
        <v>2025</v>
      </c>
      <c r="D100" s="2" t="n">
        <v>6</v>
      </c>
      <c r="E100" s="2" t="s">
        <v>55</v>
      </c>
      <c r="F100" s="3" t="n">
        <v>289</v>
      </c>
      <c r="G100" s="3" t="n">
        <v>228</v>
      </c>
      <c r="H100" s="3" t="n">
        <v>877</v>
      </c>
      <c r="I100" s="3" t="n">
        <v>228</v>
      </c>
      <c r="J100" s="3" t="n">
        <v>618800</v>
      </c>
      <c r="K100" s="3" t="n">
        <v>71417</v>
      </c>
      <c r="L100" s="3" t="n">
        <f aca="false">J100-K100</f>
        <v>547383</v>
      </c>
    </row>
    <row r="101" customFormat="false" ht="15" hidden="false" customHeight="false" outlineLevel="0" collapsed="false">
      <c r="A101" s="2" t="s">
        <v>21</v>
      </c>
      <c r="B101" s="2" t="s">
        <v>22</v>
      </c>
      <c r="C101" s="2" t="n">
        <v>2025</v>
      </c>
      <c r="D101" s="2" t="n">
        <v>6</v>
      </c>
      <c r="E101" s="2" t="s">
        <v>55</v>
      </c>
      <c r="F101" s="3" t="n">
        <v>1793</v>
      </c>
      <c r="G101" s="3" t="n">
        <v>148</v>
      </c>
      <c r="H101" s="3" t="n">
        <v>2150</v>
      </c>
      <c r="I101" s="3" t="n">
        <v>187</v>
      </c>
      <c r="J101" s="3" t="n">
        <v>1737011</v>
      </c>
      <c r="K101" s="3" t="n">
        <v>275527</v>
      </c>
      <c r="L101" s="3" t="n">
        <f aca="false">J101-K101</f>
        <v>1461484</v>
      </c>
    </row>
    <row r="102" customFormat="false" ht="15" hidden="false" customHeight="false" outlineLevel="0" collapsed="false">
      <c r="A102" s="2" t="s">
        <v>23</v>
      </c>
      <c r="B102" s="2" t="s">
        <v>24</v>
      </c>
      <c r="C102" s="2" t="n">
        <v>2025</v>
      </c>
      <c r="D102" s="2" t="n">
        <v>6</v>
      </c>
      <c r="E102" s="2" t="s">
        <v>55</v>
      </c>
      <c r="F102" s="3" t="n">
        <v>159224</v>
      </c>
      <c r="G102" s="3" t="n">
        <v>39429</v>
      </c>
      <c r="H102" s="3" t="n">
        <v>234285</v>
      </c>
      <c r="I102" s="3" t="n">
        <v>57433</v>
      </c>
      <c r="J102" s="3" t="n">
        <v>190176478</v>
      </c>
      <c r="K102" s="3" t="n">
        <v>42483009</v>
      </c>
      <c r="L102" s="3" t="n">
        <f aca="false">J102-K102</f>
        <v>147693469</v>
      </c>
    </row>
    <row r="103" customFormat="false" ht="15" hidden="false" customHeight="false" outlineLevel="0" collapsed="false">
      <c r="A103" s="2" t="s">
        <v>25</v>
      </c>
      <c r="B103" s="2" t="s">
        <v>26</v>
      </c>
      <c r="C103" s="2" t="n">
        <v>2025</v>
      </c>
      <c r="D103" s="2" t="n">
        <v>6</v>
      </c>
      <c r="E103" s="2" t="s">
        <v>55</v>
      </c>
      <c r="F103" s="3" t="n">
        <v>116</v>
      </c>
      <c r="G103" s="3" t="n">
        <v>27</v>
      </c>
      <c r="H103" s="3" t="n">
        <v>209</v>
      </c>
      <c r="I103" s="3" t="n">
        <v>30</v>
      </c>
      <c r="J103" s="3" t="n">
        <v>248607</v>
      </c>
      <c r="K103" s="3" t="n">
        <v>9315</v>
      </c>
      <c r="L103" s="3" t="n">
        <f aca="false">J103-K103</f>
        <v>239292</v>
      </c>
    </row>
    <row r="104" customFormat="false" ht="15" hidden="false" customHeight="false" outlineLevel="0" collapsed="false">
      <c r="A104" s="2" t="s">
        <v>27</v>
      </c>
      <c r="B104" s="2" t="s">
        <v>28</v>
      </c>
      <c r="C104" s="2" t="n">
        <v>2025</v>
      </c>
      <c r="D104" s="2" t="n">
        <v>6</v>
      </c>
      <c r="E104" s="2" t="s">
        <v>55</v>
      </c>
      <c r="F104" s="3" t="n">
        <v>624</v>
      </c>
      <c r="G104" s="3" t="n">
        <v>78</v>
      </c>
      <c r="H104" s="3" t="n">
        <v>1289</v>
      </c>
      <c r="I104" s="3" t="n">
        <v>126</v>
      </c>
      <c r="J104" s="3" t="n">
        <v>882003</v>
      </c>
      <c r="K104" s="3" t="n">
        <v>90440</v>
      </c>
      <c r="L104" s="3" t="n">
        <f aca="false">J104-K104</f>
        <v>791563</v>
      </c>
    </row>
    <row r="105" customFormat="false" ht="15" hidden="false" customHeight="false" outlineLevel="0" collapsed="false">
      <c r="A105" s="2" t="s">
        <v>29</v>
      </c>
      <c r="B105" s="2" t="s">
        <v>30</v>
      </c>
      <c r="C105" s="2" t="n">
        <v>2025</v>
      </c>
      <c r="D105" s="2" t="n">
        <v>6</v>
      </c>
      <c r="E105" s="2" t="s">
        <v>55</v>
      </c>
      <c r="F105" s="3" t="n">
        <v>724</v>
      </c>
      <c r="G105" s="3" t="n">
        <v>208</v>
      </c>
      <c r="H105" s="3" t="n">
        <v>2317</v>
      </c>
      <c r="I105" s="3" t="n">
        <v>229</v>
      </c>
      <c r="J105" s="3" t="n">
        <v>1678838</v>
      </c>
      <c r="K105" s="3" t="n">
        <v>234547</v>
      </c>
      <c r="L105" s="3" t="n">
        <f aca="false">J105-K105</f>
        <v>1444291</v>
      </c>
    </row>
    <row r="106" customFormat="false" ht="15" hidden="false" customHeight="false" outlineLevel="0" collapsed="false">
      <c r="A106" s="2" t="s">
        <v>31</v>
      </c>
      <c r="B106" s="2" t="s">
        <v>32</v>
      </c>
      <c r="C106" s="2" t="n">
        <v>2025</v>
      </c>
      <c r="D106" s="2" t="n">
        <v>6</v>
      </c>
      <c r="E106" s="2" t="s">
        <v>55</v>
      </c>
      <c r="F106" s="3" t="n">
        <v>840</v>
      </c>
      <c r="G106" s="3" t="n">
        <v>143</v>
      </c>
      <c r="H106" s="3" t="n">
        <v>2870</v>
      </c>
      <c r="I106" s="3" t="n">
        <v>199</v>
      </c>
      <c r="J106" s="3" t="n">
        <v>1898065</v>
      </c>
      <c r="K106" s="3" t="n">
        <v>263906</v>
      </c>
      <c r="L106" s="3" t="n">
        <f aca="false">J106-K106</f>
        <v>1634159</v>
      </c>
    </row>
    <row r="107" customFormat="false" ht="15" hidden="false" customHeight="false" outlineLevel="0" collapsed="false">
      <c r="A107" s="2" t="s">
        <v>33</v>
      </c>
      <c r="B107" s="2" t="s">
        <v>34</v>
      </c>
      <c r="C107" s="2" t="n">
        <v>2025</v>
      </c>
      <c r="D107" s="2" t="n">
        <v>6</v>
      </c>
      <c r="E107" s="2" t="s">
        <v>55</v>
      </c>
      <c r="F107" s="3" t="n">
        <v>2583</v>
      </c>
      <c r="G107" s="3" t="n">
        <v>337</v>
      </c>
      <c r="H107" s="3" t="n">
        <v>4264</v>
      </c>
      <c r="I107" s="3" t="n">
        <v>465</v>
      </c>
      <c r="J107" s="3" t="n">
        <v>2894385</v>
      </c>
      <c r="K107" s="3" t="n">
        <v>127291</v>
      </c>
      <c r="L107" s="3" t="n">
        <f aca="false">J107-K107</f>
        <v>2767094</v>
      </c>
    </row>
    <row r="108" customFormat="false" ht="15" hidden="false" customHeight="false" outlineLevel="0" collapsed="false">
      <c r="A108" s="2" t="s">
        <v>35</v>
      </c>
      <c r="B108" s="2" t="s">
        <v>36</v>
      </c>
      <c r="C108" s="2" t="n">
        <v>2025</v>
      </c>
      <c r="D108" s="2" t="n">
        <v>6</v>
      </c>
      <c r="E108" s="2" t="s">
        <v>55</v>
      </c>
      <c r="F108" s="3" t="n">
        <v>681</v>
      </c>
      <c r="G108" s="3" t="n">
        <v>86</v>
      </c>
      <c r="H108" s="3" t="n">
        <v>1515</v>
      </c>
      <c r="I108" s="3" t="n">
        <v>189</v>
      </c>
      <c r="J108" s="3" t="n">
        <v>1801373</v>
      </c>
      <c r="K108" s="3" t="n">
        <v>157062</v>
      </c>
      <c r="L108" s="3" t="n">
        <f aca="false">J108-K108</f>
        <v>1644311</v>
      </c>
    </row>
    <row r="109" customFormat="false" ht="15" hidden="false" customHeight="false" outlineLevel="0" collapsed="false">
      <c r="A109" s="2" t="s">
        <v>37</v>
      </c>
      <c r="B109" s="2" t="s">
        <v>38</v>
      </c>
      <c r="C109" s="2" t="n">
        <v>2025</v>
      </c>
      <c r="D109" s="2" t="n">
        <v>6</v>
      </c>
      <c r="E109" s="2" t="s">
        <v>55</v>
      </c>
      <c r="F109" s="3" t="n">
        <v>608</v>
      </c>
      <c r="G109" s="3" t="n">
        <v>65</v>
      </c>
      <c r="H109" s="3" t="n">
        <v>1339</v>
      </c>
      <c r="I109" s="3" t="n">
        <v>189</v>
      </c>
      <c r="J109" s="3" t="n">
        <v>871713</v>
      </c>
      <c r="K109" s="3" t="n">
        <v>98534</v>
      </c>
      <c r="L109" s="3" t="n">
        <f aca="false">J109-K109</f>
        <v>773179</v>
      </c>
    </row>
    <row r="110" customFormat="false" ht="15" hidden="false" customHeight="false" outlineLevel="0" collapsed="false">
      <c r="A110" s="2" t="s">
        <v>39</v>
      </c>
      <c r="B110" s="2" t="s">
        <v>40</v>
      </c>
      <c r="C110" s="2" t="n">
        <v>2025</v>
      </c>
      <c r="D110" s="2" t="n">
        <v>6</v>
      </c>
      <c r="E110" s="2" t="s">
        <v>55</v>
      </c>
      <c r="F110" s="3" t="n">
        <v>781</v>
      </c>
      <c r="G110" s="3" t="n">
        <v>91</v>
      </c>
      <c r="H110" s="3" t="n">
        <v>2096</v>
      </c>
      <c r="I110" s="3" t="n">
        <v>188</v>
      </c>
      <c r="J110" s="3" t="n">
        <v>1272383</v>
      </c>
      <c r="K110" s="3" t="n">
        <v>159029</v>
      </c>
      <c r="L110" s="3" t="n">
        <f aca="false">J110-K110</f>
        <v>1113354</v>
      </c>
    </row>
    <row r="111" customFormat="false" ht="15" hidden="false" customHeight="false" outlineLevel="0" collapsed="false">
      <c r="A111" s="2" t="s">
        <v>41</v>
      </c>
      <c r="B111" s="2" t="s">
        <v>42</v>
      </c>
      <c r="C111" s="2" t="n">
        <v>2025</v>
      </c>
      <c r="D111" s="2" t="n">
        <v>6</v>
      </c>
      <c r="E111" s="2" t="s">
        <v>55</v>
      </c>
      <c r="F111" s="3" t="n">
        <v>535</v>
      </c>
      <c r="G111" s="3" t="n">
        <v>82</v>
      </c>
      <c r="H111" s="3" t="n">
        <v>1079</v>
      </c>
      <c r="I111" s="3" t="n">
        <v>167</v>
      </c>
      <c r="J111" s="3" t="n">
        <v>1068129</v>
      </c>
      <c r="K111" s="3" t="n">
        <v>116936</v>
      </c>
      <c r="L111" s="3" t="n">
        <f aca="false">J111-K111</f>
        <v>951193</v>
      </c>
    </row>
    <row r="112" customFormat="false" ht="15" hidden="false" customHeight="false" outlineLevel="0" collapsed="false">
      <c r="A112" s="2" t="s">
        <v>43</v>
      </c>
      <c r="B112" s="2" t="s">
        <v>44</v>
      </c>
      <c r="C112" s="2" t="n">
        <v>2025</v>
      </c>
      <c r="D112" s="2" t="n">
        <v>6</v>
      </c>
      <c r="E112" s="2" t="s">
        <v>55</v>
      </c>
      <c r="F112" s="3" t="n">
        <v>2061</v>
      </c>
      <c r="G112" s="3" t="n">
        <v>216</v>
      </c>
      <c r="H112" s="3" t="n">
        <v>4803</v>
      </c>
      <c r="I112" s="3" t="n">
        <v>364</v>
      </c>
      <c r="J112" s="3" t="n">
        <v>2555575</v>
      </c>
      <c r="K112" s="3" t="n">
        <v>652709</v>
      </c>
      <c r="L112" s="3" t="n">
        <f aca="false">J112-K112</f>
        <v>1902866</v>
      </c>
    </row>
    <row r="113" customFormat="false" ht="15" hidden="false" customHeight="false" outlineLevel="0" collapsed="false">
      <c r="A113" s="2" t="s">
        <v>45</v>
      </c>
      <c r="B113" s="2" t="s">
        <v>46</v>
      </c>
      <c r="C113" s="2" t="n">
        <v>2025</v>
      </c>
      <c r="D113" s="2" t="n">
        <v>6</v>
      </c>
      <c r="E113" s="2" t="s">
        <v>55</v>
      </c>
      <c r="F113" s="3" t="n">
        <v>624</v>
      </c>
      <c r="G113" s="3" t="n">
        <v>90</v>
      </c>
      <c r="H113" s="3" t="n">
        <v>1691</v>
      </c>
      <c r="I113" s="3" t="n">
        <v>137</v>
      </c>
      <c r="J113" s="3" t="n">
        <v>1802883</v>
      </c>
      <c r="K113" s="3" t="n">
        <v>161716</v>
      </c>
      <c r="L113" s="3" t="n">
        <f aca="false">J113-K113</f>
        <v>1641167</v>
      </c>
    </row>
    <row r="114" customFormat="false" ht="15" hidden="false" customHeight="false" outlineLevel="0" collapsed="false">
      <c r="A114" s="2" t="s">
        <v>47</v>
      </c>
      <c r="B114" s="2" t="s">
        <v>48</v>
      </c>
      <c r="C114" s="2" t="n">
        <v>2025</v>
      </c>
      <c r="D114" s="2" t="n">
        <v>6</v>
      </c>
      <c r="E114" s="2" t="s">
        <v>55</v>
      </c>
      <c r="F114" s="3" t="n">
        <v>851</v>
      </c>
      <c r="G114" s="3" t="n">
        <v>68</v>
      </c>
      <c r="H114" s="3" t="n">
        <v>1303</v>
      </c>
      <c r="I114" s="3" t="n">
        <v>158</v>
      </c>
      <c r="J114" s="3" t="n">
        <v>1146171</v>
      </c>
      <c r="K114" s="3" t="n">
        <v>104206</v>
      </c>
      <c r="L114" s="3" t="n">
        <f aca="false">J114-K114</f>
        <v>1041965</v>
      </c>
    </row>
    <row r="115" customFormat="false" ht="15" hidden="false" customHeight="false" outlineLevel="0" collapsed="false">
      <c r="A115" s="2" t="s">
        <v>49</v>
      </c>
      <c r="B115" s="2" t="s">
        <v>50</v>
      </c>
      <c r="C115" s="2" t="n">
        <v>2025</v>
      </c>
      <c r="D115" s="2" t="n">
        <v>6</v>
      </c>
      <c r="E115" s="2" t="s">
        <v>55</v>
      </c>
      <c r="F115" s="3" t="n">
        <v>1859</v>
      </c>
      <c r="G115" s="3" t="n">
        <v>185</v>
      </c>
      <c r="H115" s="3" t="n">
        <v>4313</v>
      </c>
      <c r="I115" s="3" t="n">
        <v>536</v>
      </c>
      <c r="J115" s="3" t="n">
        <v>3135181</v>
      </c>
      <c r="K115" s="3" t="n">
        <v>447482</v>
      </c>
      <c r="L115" s="3" t="n">
        <f aca="false">J115-K115</f>
        <v>2687699</v>
      </c>
    </row>
    <row r="116" customFormat="false" ht="15" hidden="false" customHeight="false" outlineLevel="0" collapsed="false">
      <c r="A116" s="2" t="s">
        <v>12</v>
      </c>
      <c r="B116" s="2" t="s">
        <v>13</v>
      </c>
      <c r="C116" s="2" t="n">
        <v>2025</v>
      </c>
      <c r="D116" s="2" t="n">
        <v>7</v>
      </c>
      <c r="E116" s="2" t="s">
        <v>56</v>
      </c>
      <c r="F116" s="3" t="n">
        <v>123232</v>
      </c>
      <c r="G116" s="3" t="n">
        <v>27469</v>
      </c>
      <c r="H116" s="3" t="n">
        <v>198385</v>
      </c>
      <c r="I116" s="3" t="n">
        <v>43464</v>
      </c>
      <c r="J116" s="3" t="n">
        <v>156444181</v>
      </c>
      <c r="K116" s="3" t="n">
        <v>30465377</v>
      </c>
      <c r="L116" s="3" t="n">
        <f aca="false">J116-K116</f>
        <v>125978804</v>
      </c>
    </row>
    <row r="117" customFormat="false" ht="15" hidden="false" customHeight="false" outlineLevel="0" collapsed="false">
      <c r="A117" s="2" t="s">
        <v>15</v>
      </c>
      <c r="B117" s="2" t="s">
        <v>16</v>
      </c>
      <c r="C117" s="2" t="n">
        <v>2025</v>
      </c>
      <c r="D117" s="2" t="n">
        <v>7</v>
      </c>
      <c r="E117" s="2" t="s">
        <v>56</v>
      </c>
      <c r="F117" s="3" t="n">
        <v>1048</v>
      </c>
      <c r="G117" s="3" t="n">
        <v>176</v>
      </c>
      <c r="H117" s="3" t="n">
        <v>2235</v>
      </c>
      <c r="I117" s="3" t="n">
        <v>293</v>
      </c>
      <c r="J117" s="3" t="n">
        <v>1286051</v>
      </c>
      <c r="K117" s="3" t="n">
        <v>279549</v>
      </c>
      <c r="L117" s="3" t="n">
        <f aca="false">J117-K117</f>
        <v>1006502</v>
      </c>
    </row>
    <row r="118" customFormat="false" ht="15" hidden="false" customHeight="false" outlineLevel="0" collapsed="false">
      <c r="A118" s="2" t="s">
        <v>17</v>
      </c>
      <c r="B118" s="2" t="s">
        <v>18</v>
      </c>
      <c r="C118" s="2" t="n">
        <v>2025</v>
      </c>
      <c r="D118" s="2" t="n">
        <v>7</v>
      </c>
      <c r="E118" s="2" t="s">
        <v>56</v>
      </c>
      <c r="F118" s="3" t="n">
        <v>785</v>
      </c>
      <c r="G118" s="3" t="n">
        <v>87</v>
      </c>
      <c r="H118" s="3" t="n">
        <v>1598</v>
      </c>
      <c r="I118" s="3" t="n">
        <v>1914</v>
      </c>
      <c r="J118" s="3" t="n">
        <v>1394311</v>
      </c>
      <c r="K118" s="3" t="n">
        <v>167485</v>
      </c>
      <c r="L118" s="3" t="n">
        <f aca="false">J118-K118</f>
        <v>1226826</v>
      </c>
    </row>
    <row r="119" customFormat="false" ht="15" hidden="false" customHeight="false" outlineLevel="0" collapsed="false">
      <c r="A119" s="2" t="s">
        <v>19</v>
      </c>
      <c r="B119" s="2" t="s">
        <v>20</v>
      </c>
      <c r="C119" s="2" t="n">
        <v>2025</v>
      </c>
      <c r="D119" s="2" t="n">
        <v>7</v>
      </c>
      <c r="E119" s="2" t="s">
        <v>56</v>
      </c>
      <c r="F119" s="3" t="n">
        <v>231</v>
      </c>
      <c r="G119" s="3" t="n">
        <v>165</v>
      </c>
      <c r="H119" s="3" t="n">
        <v>717</v>
      </c>
      <c r="I119" s="3" t="n">
        <v>165</v>
      </c>
      <c r="J119" s="3" t="n">
        <v>504671</v>
      </c>
      <c r="K119" s="3" t="n">
        <v>49487</v>
      </c>
      <c r="L119" s="3" t="n">
        <f aca="false">J119-K119</f>
        <v>455184</v>
      </c>
    </row>
    <row r="120" customFormat="false" ht="15" hidden="false" customHeight="false" outlineLevel="0" collapsed="false">
      <c r="A120" s="2" t="s">
        <v>21</v>
      </c>
      <c r="B120" s="2" t="s">
        <v>22</v>
      </c>
      <c r="C120" s="2" t="n">
        <v>2025</v>
      </c>
      <c r="D120" s="2" t="n">
        <v>7</v>
      </c>
      <c r="E120" s="2" t="s">
        <v>56</v>
      </c>
      <c r="F120" s="3" t="n">
        <v>1197</v>
      </c>
      <c r="G120" s="3" t="n">
        <v>99</v>
      </c>
      <c r="H120" s="3" t="n">
        <v>1458</v>
      </c>
      <c r="I120" s="3" t="n">
        <v>124</v>
      </c>
      <c r="J120" s="3" t="n">
        <v>1212820</v>
      </c>
      <c r="K120" s="3" t="n">
        <v>187017</v>
      </c>
      <c r="L120" s="3" t="n">
        <f aca="false">J120-K120</f>
        <v>1025803</v>
      </c>
    </row>
    <row r="121" customFormat="false" ht="15" hidden="false" customHeight="false" outlineLevel="0" collapsed="false">
      <c r="A121" s="2" t="s">
        <v>23</v>
      </c>
      <c r="B121" s="2" t="s">
        <v>24</v>
      </c>
      <c r="C121" s="2" t="n">
        <v>2025</v>
      </c>
      <c r="D121" s="2" t="n">
        <v>7</v>
      </c>
      <c r="E121" s="2" t="s">
        <v>56</v>
      </c>
      <c r="F121" s="3" t="n">
        <v>110607</v>
      </c>
      <c r="G121" s="3" t="n">
        <v>25658</v>
      </c>
      <c r="H121" s="3" t="n">
        <v>171209</v>
      </c>
      <c r="I121" s="3" t="n">
        <v>38722</v>
      </c>
      <c r="J121" s="3" t="n">
        <v>136804291</v>
      </c>
      <c r="K121" s="3" t="n">
        <v>27776477</v>
      </c>
      <c r="L121" s="3" t="n">
        <f aca="false">J121-K121</f>
        <v>109027814</v>
      </c>
    </row>
    <row r="122" customFormat="false" ht="15" hidden="false" customHeight="false" outlineLevel="0" collapsed="false">
      <c r="A122" s="2" t="s">
        <v>25</v>
      </c>
      <c r="B122" s="2" t="s">
        <v>26</v>
      </c>
      <c r="C122" s="2" t="n">
        <v>2025</v>
      </c>
      <c r="D122" s="2" t="n">
        <v>7</v>
      </c>
      <c r="E122" s="2" t="s">
        <v>56</v>
      </c>
      <c r="F122" s="3" t="n">
        <v>91</v>
      </c>
      <c r="G122" s="3" t="n">
        <v>23</v>
      </c>
      <c r="H122" s="3" t="n">
        <v>170</v>
      </c>
      <c r="I122" s="3" t="n">
        <v>24</v>
      </c>
      <c r="J122" s="3" t="n">
        <v>193928</v>
      </c>
      <c r="K122" s="3" t="n">
        <v>8555</v>
      </c>
      <c r="L122" s="3" t="n">
        <f aca="false">J122-K122</f>
        <v>185373</v>
      </c>
    </row>
    <row r="123" customFormat="false" ht="15" hidden="false" customHeight="false" outlineLevel="0" collapsed="false">
      <c r="A123" s="2" t="s">
        <v>27</v>
      </c>
      <c r="B123" s="2" t="s">
        <v>28</v>
      </c>
      <c r="C123" s="2" t="n">
        <v>2025</v>
      </c>
      <c r="D123" s="2" t="n">
        <v>7</v>
      </c>
      <c r="E123" s="2" t="s">
        <v>56</v>
      </c>
      <c r="F123" s="3" t="n">
        <v>442</v>
      </c>
      <c r="G123" s="3" t="n">
        <v>67</v>
      </c>
      <c r="H123" s="3" t="n">
        <v>944</v>
      </c>
      <c r="I123" s="3" t="n">
        <v>109</v>
      </c>
      <c r="J123" s="3" t="n">
        <v>599955</v>
      </c>
      <c r="K123" s="3" t="n">
        <v>78334</v>
      </c>
      <c r="L123" s="3" t="n">
        <f aca="false">J123-K123</f>
        <v>521621</v>
      </c>
    </row>
    <row r="124" customFormat="false" ht="15" hidden="false" customHeight="false" outlineLevel="0" collapsed="false">
      <c r="A124" s="2" t="s">
        <v>29</v>
      </c>
      <c r="B124" s="2" t="s">
        <v>30</v>
      </c>
      <c r="C124" s="2" t="n">
        <v>2025</v>
      </c>
      <c r="D124" s="2" t="n">
        <v>7</v>
      </c>
      <c r="E124" s="2" t="s">
        <v>56</v>
      </c>
      <c r="F124" s="3" t="n">
        <v>514</v>
      </c>
      <c r="G124" s="3" t="n">
        <v>172</v>
      </c>
      <c r="H124" s="3" t="n">
        <v>1648</v>
      </c>
      <c r="I124" s="3" t="n">
        <v>187</v>
      </c>
      <c r="J124" s="3" t="n">
        <v>1225819</v>
      </c>
      <c r="K124" s="3" t="n">
        <v>187181</v>
      </c>
      <c r="L124" s="3" t="n">
        <f aca="false">J124-K124</f>
        <v>1038638</v>
      </c>
    </row>
    <row r="125" customFormat="false" ht="15" hidden="false" customHeight="false" outlineLevel="0" collapsed="false">
      <c r="A125" s="2" t="s">
        <v>31</v>
      </c>
      <c r="B125" s="2" t="s">
        <v>32</v>
      </c>
      <c r="C125" s="2" t="n">
        <v>2025</v>
      </c>
      <c r="D125" s="2" t="n">
        <v>7</v>
      </c>
      <c r="E125" s="2" t="s">
        <v>56</v>
      </c>
      <c r="F125" s="3" t="n">
        <v>563</v>
      </c>
      <c r="G125" s="3" t="n">
        <v>117</v>
      </c>
      <c r="H125" s="3" t="n">
        <v>1975</v>
      </c>
      <c r="I125" s="3" t="n">
        <v>165</v>
      </c>
      <c r="J125" s="3" t="n">
        <v>1281623</v>
      </c>
      <c r="K125" s="3" t="n">
        <v>220471</v>
      </c>
      <c r="L125" s="3" t="n">
        <f aca="false">J125-K125</f>
        <v>1061152</v>
      </c>
    </row>
    <row r="126" customFormat="false" ht="15" hidden="false" customHeight="false" outlineLevel="0" collapsed="false">
      <c r="A126" s="2" t="s">
        <v>33</v>
      </c>
      <c r="B126" s="2" t="s">
        <v>34</v>
      </c>
      <c r="C126" s="2" t="n">
        <v>2025</v>
      </c>
      <c r="D126" s="2" t="n">
        <v>7</v>
      </c>
      <c r="E126" s="2" t="s">
        <v>56</v>
      </c>
      <c r="F126" s="3" t="n">
        <v>1775</v>
      </c>
      <c r="G126" s="3" t="n">
        <v>250</v>
      </c>
      <c r="H126" s="3" t="n">
        <v>2891</v>
      </c>
      <c r="I126" s="3" t="n">
        <v>352</v>
      </c>
      <c r="J126" s="3" t="n">
        <v>1995468</v>
      </c>
      <c r="K126" s="3" t="n">
        <v>93460</v>
      </c>
      <c r="L126" s="3" t="n">
        <f aca="false">J126-K126</f>
        <v>1902008</v>
      </c>
    </row>
    <row r="127" customFormat="false" ht="15" hidden="false" customHeight="false" outlineLevel="0" collapsed="false">
      <c r="A127" s="2" t="s">
        <v>35</v>
      </c>
      <c r="B127" s="2" t="s">
        <v>36</v>
      </c>
      <c r="C127" s="2" t="n">
        <v>2025</v>
      </c>
      <c r="D127" s="2" t="n">
        <v>7</v>
      </c>
      <c r="E127" s="2" t="s">
        <v>56</v>
      </c>
      <c r="F127" s="3" t="n">
        <v>440</v>
      </c>
      <c r="G127" s="3" t="n">
        <v>57</v>
      </c>
      <c r="H127" s="3" t="n">
        <v>997</v>
      </c>
      <c r="I127" s="3" t="n">
        <v>127</v>
      </c>
      <c r="J127" s="3" t="n">
        <v>1104439</v>
      </c>
      <c r="K127" s="3" t="n">
        <v>103854</v>
      </c>
      <c r="L127" s="3" t="n">
        <f aca="false">J127-K127</f>
        <v>1000585</v>
      </c>
    </row>
    <row r="128" customFormat="false" ht="15" hidden="false" customHeight="false" outlineLevel="0" collapsed="false">
      <c r="A128" s="2" t="s">
        <v>37</v>
      </c>
      <c r="B128" s="2" t="s">
        <v>38</v>
      </c>
      <c r="C128" s="2" t="n">
        <v>2025</v>
      </c>
      <c r="D128" s="2" t="n">
        <v>7</v>
      </c>
      <c r="E128" s="2" t="s">
        <v>56</v>
      </c>
      <c r="F128" s="3" t="n">
        <v>448</v>
      </c>
      <c r="G128" s="3" t="n">
        <v>58</v>
      </c>
      <c r="H128" s="3" t="n">
        <v>934</v>
      </c>
      <c r="I128" s="3" t="n">
        <v>172</v>
      </c>
      <c r="J128" s="3" t="n">
        <v>621762</v>
      </c>
      <c r="K128" s="3" t="n">
        <v>90212</v>
      </c>
      <c r="L128" s="3" t="n">
        <f aca="false">J128-K128</f>
        <v>531550</v>
      </c>
    </row>
    <row r="129" customFormat="false" ht="15" hidden="false" customHeight="false" outlineLevel="0" collapsed="false">
      <c r="A129" s="2" t="s">
        <v>39</v>
      </c>
      <c r="B129" s="2" t="s">
        <v>40</v>
      </c>
      <c r="C129" s="2" t="n">
        <v>2025</v>
      </c>
      <c r="D129" s="2" t="n">
        <v>7</v>
      </c>
      <c r="E129" s="2" t="s">
        <v>56</v>
      </c>
      <c r="F129" s="3" t="n">
        <v>516</v>
      </c>
      <c r="G129" s="3" t="n">
        <v>56</v>
      </c>
      <c r="H129" s="3" t="n">
        <v>1416</v>
      </c>
      <c r="I129" s="3" t="n">
        <v>116</v>
      </c>
      <c r="J129" s="3" t="n">
        <v>838099</v>
      </c>
      <c r="K129" s="3" t="n">
        <v>99204</v>
      </c>
      <c r="L129" s="3" t="n">
        <f aca="false">J129-K129</f>
        <v>738895</v>
      </c>
    </row>
    <row r="130" customFormat="false" ht="15" hidden="false" customHeight="false" outlineLevel="0" collapsed="false">
      <c r="A130" s="2" t="s">
        <v>41</v>
      </c>
      <c r="B130" s="2" t="s">
        <v>42</v>
      </c>
      <c r="C130" s="2" t="n">
        <v>2025</v>
      </c>
      <c r="D130" s="2" t="n">
        <v>7</v>
      </c>
      <c r="E130" s="2" t="s">
        <v>56</v>
      </c>
      <c r="F130" s="3" t="n">
        <v>392</v>
      </c>
      <c r="G130" s="3" t="n">
        <v>53</v>
      </c>
      <c r="H130" s="3" t="n">
        <v>810</v>
      </c>
      <c r="I130" s="3" t="n">
        <v>106</v>
      </c>
      <c r="J130" s="3" t="n">
        <v>820239</v>
      </c>
      <c r="K130" s="3" t="n">
        <v>77832</v>
      </c>
      <c r="L130" s="3" t="n">
        <f aca="false">J130-K130</f>
        <v>742407</v>
      </c>
    </row>
    <row r="131" customFormat="false" ht="15" hidden="false" customHeight="false" outlineLevel="0" collapsed="false">
      <c r="A131" s="2" t="s">
        <v>43</v>
      </c>
      <c r="B131" s="2" t="s">
        <v>44</v>
      </c>
      <c r="C131" s="2" t="n">
        <v>2025</v>
      </c>
      <c r="D131" s="2" t="n">
        <v>7</v>
      </c>
      <c r="E131" s="2" t="s">
        <v>56</v>
      </c>
      <c r="F131" s="3" t="n">
        <v>1660</v>
      </c>
      <c r="G131" s="3" t="n">
        <v>170</v>
      </c>
      <c r="H131" s="3" t="n">
        <v>3830</v>
      </c>
      <c r="I131" s="3" t="n">
        <v>280</v>
      </c>
      <c r="J131" s="3" t="n">
        <v>1976308</v>
      </c>
      <c r="K131" s="3" t="n">
        <v>525219</v>
      </c>
      <c r="L131" s="3" t="n">
        <f aca="false">J131-K131</f>
        <v>1451089</v>
      </c>
    </row>
    <row r="132" customFormat="false" ht="15" hidden="false" customHeight="false" outlineLevel="0" collapsed="false">
      <c r="A132" s="2" t="s">
        <v>45</v>
      </c>
      <c r="B132" s="2" t="s">
        <v>46</v>
      </c>
      <c r="C132" s="2" t="n">
        <v>2025</v>
      </c>
      <c r="D132" s="2" t="n">
        <v>7</v>
      </c>
      <c r="E132" s="2" t="s">
        <v>56</v>
      </c>
      <c r="F132" s="3" t="n">
        <v>462</v>
      </c>
      <c r="G132" s="3" t="n">
        <v>75</v>
      </c>
      <c r="H132" s="3" t="n">
        <v>1231</v>
      </c>
      <c r="I132" s="3" t="n">
        <v>112</v>
      </c>
      <c r="J132" s="3" t="n">
        <v>1405111</v>
      </c>
      <c r="K132" s="3" t="n">
        <v>135713</v>
      </c>
      <c r="L132" s="3" t="n">
        <f aca="false">J132-K132</f>
        <v>1269398</v>
      </c>
    </row>
    <row r="133" customFormat="false" ht="15" hidden="false" customHeight="false" outlineLevel="0" collapsed="false">
      <c r="A133" s="2" t="s">
        <v>47</v>
      </c>
      <c r="B133" s="2" t="s">
        <v>48</v>
      </c>
      <c r="C133" s="2" t="n">
        <v>2025</v>
      </c>
      <c r="D133" s="2" t="n">
        <v>7</v>
      </c>
      <c r="E133" s="2" t="s">
        <v>56</v>
      </c>
      <c r="F133" s="3" t="n">
        <v>613</v>
      </c>
      <c r="G133" s="3" t="n">
        <v>53</v>
      </c>
      <c r="H133" s="3" t="n">
        <v>927</v>
      </c>
      <c r="I133" s="3" t="n">
        <v>117</v>
      </c>
      <c r="J133" s="3" t="n">
        <v>778508</v>
      </c>
      <c r="K133" s="3" t="n">
        <v>82515</v>
      </c>
      <c r="L133" s="3" t="n">
        <f aca="false">J133-K133</f>
        <v>695993</v>
      </c>
    </row>
    <row r="134" customFormat="false" ht="15" hidden="false" customHeight="false" outlineLevel="0" collapsed="false">
      <c r="A134" s="2" t="s">
        <v>49</v>
      </c>
      <c r="B134" s="2" t="s">
        <v>50</v>
      </c>
      <c r="C134" s="2" t="n">
        <v>2025</v>
      </c>
      <c r="D134" s="2" t="n">
        <v>7</v>
      </c>
      <c r="E134" s="2" t="s">
        <v>56</v>
      </c>
      <c r="F134" s="3" t="n">
        <v>1448</v>
      </c>
      <c r="G134" s="3" t="n">
        <v>133</v>
      </c>
      <c r="H134" s="3" t="n">
        <v>3395</v>
      </c>
      <c r="I134" s="3" t="n">
        <v>379</v>
      </c>
      <c r="J134" s="3" t="n">
        <v>2400778</v>
      </c>
      <c r="K134" s="3" t="n">
        <v>302812</v>
      </c>
      <c r="L134" s="3" t="n">
        <f aca="false">J134-K134</f>
        <v>2097966</v>
      </c>
    </row>
    <row r="135" customFormat="false" ht="15" hidden="false" customHeight="false" outlineLevel="0" collapsed="false">
      <c r="A135" s="2" t="s">
        <v>12</v>
      </c>
      <c r="B135" s="2" t="s">
        <v>13</v>
      </c>
      <c r="C135" s="2" t="n">
        <v>2025</v>
      </c>
      <c r="D135" s="2" t="n">
        <v>8</v>
      </c>
      <c r="E135" s="2" t="s">
        <v>57</v>
      </c>
      <c r="F135" s="3" t="n">
        <v>140563</v>
      </c>
      <c r="G135" s="3" t="n">
        <v>28290</v>
      </c>
      <c r="H135" s="3" t="n">
        <v>221143</v>
      </c>
      <c r="I135" s="3" t="n">
        <v>44602</v>
      </c>
      <c r="J135" s="3" t="n">
        <v>174440174</v>
      </c>
      <c r="K135" s="3" t="n">
        <v>32235234</v>
      </c>
      <c r="L135" s="3" t="n">
        <f aca="false">J135-K135</f>
        <v>142204940</v>
      </c>
    </row>
    <row r="136" customFormat="false" ht="15" hidden="false" customHeight="false" outlineLevel="0" collapsed="false">
      <c r="A136" s="2" t="s">
        <v>15</v>
      </c>
      <c r="B136" s="2" t="s">
        <v>16</v>
      </c>
      <c r="C136" s="2" t="n">
        <v>2025</v>
      </c>
      <c r="D136" s="2" t="n">
        <v>8</v>
      </c>
      <c r="E136" s="2" t="s">
        <v>57</v>
      </c>
      <c r="F136" s="3" t="n">
        <v>1286</v>
      </c>
      <c r="G136" s="3" t="n">
        <v>183</v>
      </c>
      <c r="H136" s="3" t="n">
        <v>2807</v>
      </c>
      <c r="I136" s="3" t="n">
        <v>318</v>
      </c>
      <c r="J136" s="3" t="n">
        <v>1532886</v>
      </c>
      <c r="K136" s="3" t="n">
        <v>294006</v>
      </c>
      <c r="L136" s="3" t="n">
        <f aca="false">J136-K136</f>
        <v>1238880</v>
      </c>
    </row>
    <row r="137" customFormat="false" ht="15" hidden="false" customHeight="false" outlineLevel="0" collapsed="false">
      <c r="A137" s="2" t="s">
        <v>17</v>
      </c>
      <c r="B137" s="2" t="s">
        <v>18</v>
      </c>
      <c r="C137" s="2" t="n">
        <v>2025</v>
      </c>
      <c r="D137" s="2" t="n">
        <v>8</v>
      </c>
      <c r="E137" s="2" t="s">
        <v>57</v>
      </c>
      <c r="F137" s="3" t="n">
        <v>812</v>
      </c>
      <c r="G137" s="3" t="n">
        <v>109</v>
      </c>
      <c r="H137" s="3" t="n">
        <v>1597</v>
      </c>
      <c r="I137" s="3" t="n">
        <v>2332</v>
      </c>
      <c r="J137" s="3" t="n">
        <v>1500813</v>
      </c>
      <c r="K137" s="3" t="n">
        <v>222845</v>
      </c>
      <c r="L137" s="3" t="n">
        <f aca="false">J137-K137</f>
        <v>1277968</v>
      </c>
    </row>
    <row r="138" customFormat="false" ht="15" hidden="false" customHeight="false" outlineLevel="0" collapsed="false">
      <c r="A138" s="2" t="s">
        <v>19</v>
      </c>
      <c r="B138" s="2" t="s">
        <v>20</v>
      </c>
      <c r="C138" s="2" t="n">
        <v>2025</v>
      </c>
      <c r="D138" s="2" t="n">
        <v>8</v>
      </c>
      <c r="E138" s="2" t="s">
        <v>57</v>
      </c>
      <c r="F138" s="3" t="n">
        <v>223</v>
      </c>
      <c r="G138" s="3" t="n">
        <v>173</v>
      </c>
      <c r="H138" s="3" t="n">
        <v>685</v>
      </c>
      <c r="I138" s="3" t="n">
        <v>173</v>
      </c>
      <c r="J138" s="3" t="n">
        <v>508832</v>
      </c>
      <c r="K138" s="3" t="n">
        <v>53696</v>
      </c>
      <c r="L138" s="3" t="n">
        <f aca="false">J138-K138</f>
        <v>455136</v>
      </c>
    </row>
    <row r="139" customFormat="false" ht="15" hidden="false" customHeight="false" outlineLevel="0" collapsed="false">
      <c r="A139" s="2" t="s">
        <v>21</v>
      </c>
      <c r="B139" s="2" t="s">
        <v>22</v>
      </c>
      <c r="C139" s="2" t="n">
        <v>2025</v>
      </c>
      <c r="D139" s="2" t="n">
        <v>8</v>
      </c>
      <c r="E139" s="2" t="s">
        <v>57</v>
      </c>
      <c r="F139" s="3" t="n">
        <v>1350</v>
      </c>
      <c r="G139" s="3" t="n">
        <v>121</v>
      </c>
      <c r="H139" s="3" t="n">
        <v>1594</v>
      </c>
      <c r="I139" s="3" t="n">
        <v>147</v>
      </c>
      <c r="J139" s="3" t="n">
        <v>1379945</v>
      </c>
      <c r="K139" s="3" t="n">
        <v>230513</v>
      </c>
      <c r="L139" s="3" t="n">
        <f aca="false">J139-K139</f>
        <v>1149432</v>
      </c>
    </row>
    <row r="140" customFormat="false" ht="15" hidden="false" customHeight="false" outlineLevel="0" collapsed="false">
      <c r="A140" s="2" t="s">
        <v>23</v>
      </c>
      <c r="B140" s="2" t="s">
        <v>24</v>
      </c>
      <c r="C140" s="2" t="n">
        <v>2025</v>
      </c>
      <c r="D140" s="2" t="n">
        <v>8</v>
      </c>
      <c r="E140" s="2" t="s">
        <v>57</v>
      </c>
      <c r="F140" s="3" t="n">
        <v>127125</v>
      </c>
      <c r="G140" s="3" t="n">
        <v>26354</v>
      </c>
      <c r="H140" s="3" t="n">
        <v>192571</v>
      </c>
      <c r="I140" s="3" t="n">
        <v>39230</v>
      </c>
      <c r="J140" s="3" t="n">
        <v>153440889</v>
      </c>
      <c r="K140" s="3" t="n">
        <v>29322362</v>
      </c>
      <c r="L140" s="3" t="n">
        <f aca="false">J140-K140</f>
        <v>124118527</v>
      </c>
    </row>
    <row r="141" customFormat="false" ht="15" hidden="false" customHeight="false" outlineLevel="0" collapsed="false">
      <c r="A141" s="2" t="s">
        <v>25</v>
      </c>
      <c r="B141" s="2" t="s">
        <v>26</v>
      </c>
      <c r="C141" s="2" t="n">
        <v>2025</v>
      </c>
      <c r="D141" s="2" t="n">
        <v>8</v>
      </c>
      <c r="E141" s="2" t="s">
        <v>57</v>
      </c>
      <c r="F141" s="3" t="n">
        <v>97</v>
      </c>
      <c r="G141" s="3" t="n">
        <v>22</v>
      </c>
      <c r="H141" s="3" t="n">
        <v>182</v>
      </c>
      <c r="I141" s="3" t="n">
        <v>24</v>
      </c>
      <c r="J141" s="3" t="n">
        <v>211958</v>
      </c>
      <c r="K141" s="3" t="n">
        <v>7866</v>
      </c>
      <c r="L141" s="3" t="n">
        <f aca="false">J141-K141</f>
        <v>204092</v>
      </c>
    </row>
    <row r="142" customFormat="false" ht="15" hidden="false" customHeight="false" outlineLevel="0" collapsed="false">
      <c r="A142" s="2" t="s">
        <v>27</v>
      </c>
      <c r="B142" s="2" t="s">
        <v>28</v>
      </c>
      <c r="C142" s="2" t="n">
        <v>2025</v>
      </c>
      <c r="D142" s="2" t="n">
        <v>8</v>
      </c>
      <c r="E142" s="2" t="s">
        <v>57</v>
      </c>
      <c r="F142" s="3" t="n">
        <v>430</v>
      </c>
      <c r="G142" s="3" t="n">
        <v>68</v>
      </c>
      <c r="H142" s="3" t="n">
        <v>916</v>
      </c>
      <c r="I142" s="3" t="n">
        <v>112</v>
      </c>
      <c r="J142" s="3" t="n">
        <v>564495</v>
      </c>
      <c r="K142" s="3" t="n">
        <v>77321</v>
      </c>
      <c r="L142" s="3" t="n">
        <f aca="false">J142-K142</f>
        <v>487174</v>
      </c>
    </row>
    <row r="143" customFormat="false" ht="15" hidden="false" customHeight="false" outlineLevel="0" collapsed="false">
      <c r="A143" s="2" t="s">
        <v>29</v>
      </c>
      <c r="B143" s="2" t="s">
        <v>30</v>
      </c>
      <c r="C143" s="2" t="n">
        <v>2025</v>
      </c>
      <c r="D143" s="2" t="n">
        <v>8</v>
      </c>
      <c r="E143" s="2" t="s">
        <v>57</v>
      </c>
      <c r="F143" s="3" t="n">
        <v>536</v>
      </c>
      <c r="G143" s="3" t="n">
        <v>180</v>
      </c>
      <c r="H143" s="3" t="n">
        <v>1676</v>
      </c>
      <c r="I143" s="3" t="n">
        <v>190</v>
      </c>
      <c r="J143" s="3" t="n">
        <v>1266223</v>
      </c>
      <c r="K143" s="3" t="n">
        <v>199312</v>
      </c>
      <c r="L143" s="3" t="n">
        <f aca="false">J143-K143</f>
        <v>1066911</v>
      </c>
    </row>
    <row r="144" customFormat="false" ht="15" hidden="false" customHeight="false" outlineLevel="0" collapsed="false">
      <c r="A144" s="2" t="s">
        <v>31</v>
      </c>
      <c r="B144" s="2" t="s">
        <v>32</v>
      </c>
      <c r="C144" s="2" t="n">
        <v>2025</v>
      </c>
      <c r="D144" s="2" t="n">
        <v>8</v>
      </c>
      <c r="E144" s="2" t="s">
        <v>57</v>
      </c>
      <c r="F144" s="3" t="n">
        <v>590</v>
      </c>
      <c r="G144" s="3" t="n">
        <v>115</v>
      </c>
      <c r="H144" s="3" t="n">
        <v>1998</v>
      </c>
      <c r="I144" s="3" t="n">
        <v>161</v>
      </c>
      <c r="J144" s="3" t="n">
        <v>1370116</v>
      </c>
      <c r="K144" s="3" t="n">
        <v>219214</v>
      </c>
      <c r="L144" s="3" t="n">
        <f aca="false">J144-K144</f>
        <v>1150902</v>
      </c>
    </row>
    <row r="145" customFormat="false" ht="15" hidden="false" customHeight="false" outlineLevel="0" collapsed="false">
      <c r="A145" s="2" t="s">
        <v>33</v>
      </c>
      <c r="B145" s="2" t="s">
        <v>34</v>
      </c>
      <c r="C145" s="2" t="n">
        <v>2025</v>
      </c>
      <c r="D145" s="2" t="n">
        <v>8</v>
      </c>
      <c r="E145" s="2" t="s">
        <v>57</v>
      </c>
      <c r="F145" s="3" t="n">
        <v>1818</v>
      </c>
      <c r="G145" s="3" t="n">
        <v>263</v>
      </c>
      <c r="H145" s="3" t="n">
        <v>3005</v>
      </c>
      <c r="I145" s="3" t="n">
        <v>359</v>
      </c>
      <c r="J145" s="3" t="n">
        <v>2074454</v>
      </c>
      <c r="K145" s="3" t="n">
        <v>95589</v>
      </c>
      <c r="L145" s="3" t="n">
        <f aca="false">J145-K145</f>
        <v>1978865</v>
      </c>
    </row>
    <row r="146" customFormat="false" ht="15" hidden="false" customHeight="false" outlineLevel="0" collapsed="false">
      <c r="A146" s="2" t="s">
        <v>35</v>
      </c>
      <c r="B146" s="2" t="s">
        <v>36</v>
      </c>
      <c r="C146" s="2" t="n">
        <v>2025</v>
      </c>
      <c r="D146" s="2" t="n">
        <v>8</v>
      </c>
      <c r="E146" s="2" t="s">
        <v>57</v>
      </c>
      <c r="F146" s="3" t="n">
        <v>526</v>
      </c>
      <c r="G146" s="3" t="n">
        <v>60</v>
      </c>
      <c r="H146" s="3" t="n">
        <v>1177</v>
      </c>
      <c r="I146" s="3" t="n">
        <v>130</v>
      </c>
      <c r="J146" s="3" t="n">
        <v>1395167</v>
      </c>
      <c r="K146" s="3" t="n">
        <v>103393</v>
      </c>
      <c r="L146" s="3" t="n">
        <f aca="false">J146-K146</f>
        <v>1291774</v>
      </c>
    </row>
    <row r="147" customFormat="false" ht="15" hidden="false" customHeight="false" outlineLevel="0" collapsed="false">
      <c r="A147" s="2" t="s">
        <v>37</v>
      </c>
      <c r="B147" s="2" t="s">
        <v>38</v>
      </c>
      <c r="C147" s="2" t="n">
        <v>2025</v>
      </c>
      <c r="D147" s="2" t="n">
        <v>8</v>
      </c>
      <c r="E147" s="2" t="s">
        <v>57</v>
      </c>
      <c r="F147" s="3" t="n">
        <v>500</v>
      </c>
      <c r="G147" s="3" t="n">
        <v>60</v>
      </c>
      <c r="H147" s="3" t="n">
        <v>1051</v>
      </c>
      <c r="I147" s="3" t="n">
        <v>175</v>
      </c>
      <c r="J147" s="3" t="n">
        <v>688649</v>
      </c>
      <c r="K147" s="3" t="n">
        <v>93580</v>
      </c>
      <c r="L147" s="3" t="n">
        <f aca="false">J147-K147</f>
        <v>595069</v>
      </c>
    </row>
    <row r="148" customFormat="false" ht="15" hidden="false" customHeight="false" outlineLevel="0" collapsed="false">
      <c r="A148" s="2" t="s">
        <v>39</v>
      </c>
      <c r="B148" s="2" t="s">
        <v>40</v>
      </c>
      <c r="C148" s="2" t="n">
        <v>2025</v>
      </c>
      <c r="D148" s="2" t="n">
        <v>8</v>
      </c>
      <c r="E148" s="2" t="s">
        <v>57</v>
      </c>
      <c r="F148" s="3" t="n">
        <v>546</v>
      </c>
      <c r="G148" s="3" t="n">
        <v>62</v>
      </c>
      <c r="H148" s="3" t="n">
        <v>1469</v>
      </c>
      <c r="I148" s="3" t="n">
        <v>133</v>
      </c>
      <c r="J148" s="3" t="n">
        <v>901772</v>
      </c>
      <c r="K148" s="3" t="n">
        <v>107219</v>
      </c>
      <c r="L148" s="3" t="n">
        <f aca="false">J148-K148</f>
        <v>794553</v>
      </c>
    </row>
    <row r="149" customFormat="false" ht="15" hidden="false" customHeight="false" outlineLevel="0" collapsed="false">
      <c r="A149" s="2" t="s">
        <v>41</v>
      </c>
      <c r="B149" s="2" t="s">
        <v>42</v>
      </c>
      <c r="C149" s="2" t="n">
        <v>2025</v>
      </c>
      <c r="D149" s="2" t="n">
        <v>8</v>
      </c>
      <c r="E149" s="2" t="s">
        <v>57</v>
      </c>
      <c r="F149" s="3" t="n">
        <v>434</v>
      </c>
      <c r="G149" s="3" t="n">
        <v>56</v>
      </c>
      <c r="H149" s="3" t="n">
        <v>871</v>
      </c>
      <c r="I149" s="3" t="n">
        <v>115</v>
      </c>
      <c r="J149" s="3" t="n">
        <v>916068</v>
      </c>
      <c r="K149" s="3" t="n">
        <v>83956</v>
      </c>
      <c r="L149" s="3" t="n">
        <f aca="false">J149-K149</f>
        <v>832112</v>
      </c>
    </row>
    <row r="150" customFormat="false" ht="15" hidden="false" customHeight="false" outlineLevel="0" collapsed="false">
      <c r="A150" s="2" t="s">
        <v>43</v>
      </c>
      <c r="B150" s="2" t="s">
        <v>44</v>
      </c>
      <c r="C150" s="2" t="n">
        <v>2025</v>
      </c>
      <c r="D150" s="2" t="n">
        <v>8</v>
      </c>
      <c r="E150" s="2" t="s">
        <v>57</v>
      </c>
      <c r="F150" s="3" t="n">
        <v>1848</v>
      </c>
      <c r="G150" s="3" t="n">
        <v>183</v>
      </c>
      <c r="H150" s="3" t="n">
        <v>4290</v>
      </c>
      <c r="I150" s="3" t="n">
        <v>311</v>
      </c>
      <c r="J150" s="3" t="n">
        <v>2250974</v>
      </c>
      <c r="K150" s="3" t="n">
        <v>555992</v>
      </c>
      <c r="L150" s="3" t="n">
        <f aca="false">J150-K150</f>
        <v>1694982</v>
      </c>
    </row>
    <row r="151" customFormat="false" ht="15" hidden="false" customHeight="false" outlineLevel="0" collapsed="false">
      <c r="A151" s="2" t="s">
        <v>45</v>
      </c>
      <c r="B151" s="2" t="s">
        <v>46</v>
      </c>
      <c r="C151" s="2" t="n">
        <v>2025</v>
      </c>
      <c r="D151" s="2" t="n">
        <v>8</v>
      </c>
      <c r="E151" s="2" t="s">
        <v>57</v>
      </c>
      <c r="F151" s="3" t="n">
        <v>462</v>
      </c>
      <c r="G151" s="3" t="n">
        <v>73</v>
      </c>
      <c r="H151" s="3" t="n">
        <v>1210</v>
      </c>
      <c r="I151" s="3" t="n">
        <v>109</v>
      </c>
      <c r="J151" s="3" t="n">
        <v>1400676</v>
      </c>
      <c r="K151" s="3" t="n">
        <v>127657</v>
      </c>
      <c r="L151" s="3" t="n">
        <f aca="false">J151-K151</f>
        <v>1273019</v>
      </c>
    </row>
    <row r="152" customFormat="false" ht="15" hidden="false" customHeight="false" outlineLevel="0" collapsed="false">
      <c r="A152" s="2" t="s">
        <v>47</v>
      </c>
      <c r="B152" s="2" t="s">
        <v>48</v>
      </c>
      <c r="C152" s="2" t="n">
        <v>2025</v>
      </c>
      <c r="D152" s="2" t="n">
        <v>8</v>
      </c>
      <c r="E152" s="2" t="s">
        <v>57</v>
      </c>
      <c r="F152" s="3" t="n">
        <v>577</v>
      </c>
      <c r="G152" s="3" t="n">
        <v>62</v>
      </c>
      <c r="H152" s="3" t="n">
        <v>859</v>
      </c>
      <c r="I152" s="3" t="n">
        <v>143</v>
      </c>
      <c r="J152" s="3" t="n">
        <v>773089</v>
      </c>
      <c r="K152" s="3" t="n">
        <v>97485</v>
      </c>
      <c r="L152" s="3" t="n">
        <f aca="false">J152-K152</f>
        <v>675604</v>
      </c>
    </row>
    <row r="153" customFormat="false" ht="15" hidden="false" customHeight="false" outlineLevel="0" collapsed="false">
      <c r="A153" s="2" t="s">
        <v>49</v>
      </c>
      <c r="B153" s="2" t="s">
        <v>50</v>
      </c>
      <c r="C153" s="2" t="n">
        <v>2025</v>
      </c>
      <c r="D153" s="2" t="n">
        <v>8</v>
      </c>
      <c r="E153" s="2" t="s">
        <v>57</v>
      </c>
      <c r="F153" s="3" t="n">
        <v>1403</v>
      </c>
      <c r="G153" s="3" t="n">
        <v>146</v>
      </c>
      <c r="H153" s="3" t="n">
        <v>3185</v>
      </c>
      <c r="I153" s="3" t="n">
        <v>440</v>
      </c>
      <c r="J153" s="3" t="n">
        <v>2263168</v>
      </c>
      <c r="K153" s="3" t="n">
        <v>343228</v>
      </c>
      <c r="L153" s="3" t="n">
        <f aca="false">J153-K153</f>
        <v>1919940</v>
      </c>
    </row>
    <row r="154" customFormat="false" ht="15" hidden="false" customHeight="false" outlineLevel="0" collapsed="false">
      <c r="A154" s="2" t="s">
        <v>12</v>
      </c>
      <c r="B154" s="2" t="s">
        <v>13</v>
      </c>
      <c r="C154" s="2" t="n">
        <v>2025</v>
      </c>
      <c r="D154" s="2" t="n">
        <v>9</v>
      </c>
      <c r="E154" s="2" t="s">
        <v>58</v>
      </c>
      <c r="F154" s="3" t="n">
        <v>155986</v>
      </c>
      <c r="G154" s="3" t="n">
        <v>33612</v>
      </c>
      <c r="H154" s="3" t="n">
        <v>243970</v>
      </c>
      <c r="I154" s="3" t="n">
        <v>53145</v>
      </c>
      <c r="J154" s="3" t="n">
        <v>199667225</v>
      </c>
      <c r="K154" s="3" t="n">
        <v>37022160</v>
      </c>
      <c r="L154" s="3" t="n">
        <f aca="false">J154-K154</f>
        <v>162645065</v>
      </c>
    </row>
    <row r="155" customFormat="false" ht="15" hidden="false" customHeight="false" outlineLevel="0" collapsed="false">
      <c r="A155" s="2" t="s">
        <v>15</v>
      </c>
      <c r="B155" s="2" t="s">
        <v>16</v>
      </c>
      <c r="C155" s="2" t="n">
        <v>2025</v>
      </c>
      <c r="D155" s="2" t="n">
        <v>9</v>
      </c>
      <c r="E155" s="2" t="s">
        <v>58</v>
      </c>
      <c r="F155" s="3" t="n">
        <v>1323</v>
      </c>
      <c r="G155" s="3" t="n">
        <v>212</v>
      </c>
      <c r="H155" s="3" t="n">
        <v>2744</v>
      </c>
      <c r="I155" s="3" t="n">
        <v>354</v>
      </c>
      <c r="J155" s="3" t="n">
        <v>1507806</v>
      </c>
      <c r="K155" s="3" t="n">
        <v>324874</v>
      </c>
      <c r="L155" s="3" t="n">
        <f aca="false">J155-K155</f>
        <v>1182932</v>
      </c>
    </row>
    <row r="156" customFormat="false" ht="15" hidden="false" customHeight="false" outlineLevel="0" collapsed="false">
      <c r="A156" s="2" t="s">
        <v>17</v>
      </c>
      <c r="B156" s="2" t="s">
        <v>18</v>
      </c>
      <c r="C156" s="2" t="n">
        <v>2025</v>
      </c>
      <c r="D156" s="2" t="n">
        <v>9</v>
      </c>
      <c r="E156" s="2" t="s">
        <v>58</v>
      </c>
      <c r="F156" s="3" t="n">
        <v>981</v>
      </c>
      <c r="G156" s="3" t="n">
        <v>118</v>
      </c>
      <c r="H156" s="3" t="n">
        <v>1903</v>
      </c>
      <c r="I156" s="3" t="n">
        <v>2537</v>
      </c>
      <c r="J156" s="3" t="n">
        <v>1756506</v>
      </c>
      <c r="K156" s="3" t="n">
        <v>229265</v>
      </c>
      <c r="L156" s="3" t="n">
        <f aca="false">J156-K156</f>
        <v>1527241</v>
      </c>
    </row>
    <row r="157" customFormat="false" ht="15" hidden="false" customHeight="false" outlineLevel="0" collapsed="false">
      <c r="A157" s="2" t="s">
        <v>19</v>
      </c>
      <c r="B157" s="2" t="s">
        <v>20</v>
      </c>
      <c r="C157" s="2" t="n">
        <v>2025</v>
      </c>
      <c r="D157" s="2" t="n">
        <v>9</v>
      </c>
      <c r="E157" s="2" t="s">
        <v>58</v>
      </c>
      <c r="F157" s="3" t="n">
        <v>235</v>
      </c>
      <c r="G157" s="3" t="n">
        <v>166</v>
      </c>
      <c r="H157" s="3" t="n">
        <v>718</v>
      </c>
      <c r="I157" s="3" t="n">
        <v>166</v>
      </c>
      <c r="J157" s="3" t="n">
        <v>506028</v>
      </c>
      <c r="K157" s="3" t="n">
        <v>52002</v>
      </c>
      <c r="L157" s="3" t="n">
        <f aca="false">J157-K157</f>
        <v>454026</v>
      </c>
    </row>
    <row r="158" customFormat="false" ht="15" hidden="false" customHeight="false" outlineLevel="0" collapsed="false">
      <c r="A158" s="2" t="s">
        <v>21</v>
      </c>
      <c r="B158" s="2" t="s">
        <v>22</v>
      </c>
      <c r="C158" s="2" t="n">
        <v>2025</v>
      </c>
      <c r="D158" s="2" t="n">
        <v>9</v>
      </c>
      <c r="E158" s="2" t="s">
        <v>58</v>
      </c>
      <c r="F158" s="3" t="n">
        <v>1422</v>
      </c>
      <c r="G158" s="3" t="n">
        <v>117</v>
      </c>
      <c r="H158" s="3" t="n">
        <v>1731</v>
      </c>
      <c r="I158" s="3" t="n">
        <v>147</v>
      </c>
      <c r="J158" s="3" t="n">
        <v>1419725</v>
      </c>
      <c r="K158" s="3" t="n">
        <v>217523</v>
      </c>
      <c r="L158" s="3" t="n">
        <f aca="false">J158-K158</f>
        <v>1202202</v>
      </c>
    </row>
    <row r="159" customFormat="false" ht="15" hidden="false" customHeight="false" outlineLevel="0" collapsed="false">
      <c r="A159" s="2" t="s">
        <v>23</v>
      </c>
      <c r="B159" s="2" t="s">
        <v>24</v>
      </c>
      <c r="C159" s="2" t="n">
        <v>2025</v>
      </c>
      <c r="D159" s="2" t="n">
        <v>9</v>
      </c>
      <c r="E159" s="2" t="s">
        <v>58</v>
      </c>
      <c r="F159" s="3" t="n">
        <v>141586</v>
      </c>
      <c r="G159" s="3" t="n">
        <v>31579</v>
      </c>
      <c r="H159" s="3" t="n">
        <v>213278</v>
      </c>
      <c r="I159" s="3" t="n">
        <v>47410</v>
      </c>
      <c r="J159" s="3" t="n">
        <v>177379773</v>
      </c>
      <c r="K159" s="3" t="n">
        <v>34037909</v>
      </c>
      <c r="L159" s="3" t="n">
        <f aca="false">J159-K159</f>
        <v>143341864</v>
      </c>
    </row>
    <row r="160" customFormat="false" ht="15" hidden="false" customHeight="false" outlineLevel="0" collapsed="false">
      <c r="A160" s="2" t="s">
        <v>25</v>
      </c>
      <c r="B160" s="2" t="s">
        <v>26</v>
      </c>
      <c r="C160" s="2" t="n">
        <v>2025</v>
      </c>
      <c r="D160" s="2" t="n">
        <v>9</v>
      </c>
      <c r="E160" s="2" t="s">
        <v>58</v>
      </c>
      <c r="F160" s="3" t="n">
        <v>93</v>
      </c>
      <c r="G160" s="3" t="n">
        <v>23</v>
      </c>
      <c r="H160" s="3" t="n">
        <v>168</v>
      </c>
      <c r="I160" s="3" t="n">
        <v>25</v>
      </c>
      <c r="J160" s="3" t="n">
        <v>203872</v>
      </c>
      <c r="K160" s="3" t="n">
        <v>8425</v>
      </c>
      <c r="L160" s="3" t="n">
        <f aca="false">J160-K160</f>
        <v>195447</v>
      </c>
    </row>
    <row r="161" customFormat="false" ht="15" hidden="false" customHeight="false" outlineLevel="0" collapsed="false">
      <c r="A161" s="2" t="s">
        <v>27</v>
      </c>
      <c r="B161" s="2" t="s">
        <v>28</v>
      </c>
      <c r="C161" s="2" t="n">
        <v>2025</v>
      </c>
      <c r="D161" s="2" t="n">
        <v>9</v>
      </c>
      <c r="E161" s="2" t="s">
        <v>58</v>
      </c>
      <c r="F161" s="3" t="n">
        <v>461</v>
      </c>
      <c r="G161" s="3" t="n">
        <v>71</v>
      </c>
      <c r="H161" s="3" t="n">
        <v>1004</v>
      </c>
      <c r="I161" s="3" t="n">
        <v>117</v>
      </c>
      <c r="J161" s="3" t="n">
        <v>625801</v>
      </c>
      <c r="K161" s="3" t="n">
        <v>82961</v>
      </c>
      <c r="L161" s="3" t="n">
        <f aca="false">J161-K161</f>
        <v>542840</v>
      </c>
    </row>
    <row r="162" customFormat="false" ht="15" hidden="false" customHeight="false" outlineLevel="0" collapsed="false">
      <c r="A162" s="2" t="s">
        <v>29</v>
      </c>
      <c r="B162" s="2" t="s">
        <v>30</v>
      </c>
      <c r="C162" s="2" t="n">
        <v>2025</v>
      </c>
      <c r="D162" s="2" t="n">
        <v>9</v>
      </c>
      <c r="E162" s="2" t="s">
        <v>58</v>
      </c>
      <c r="F162" s="3" t="n">
        <v>623</v>
      </c>
      <c r="G162" s="3" t="n">
        <v>193</v>
      </c>
      <c r="H162" s="3" t="n">
        <v>2016</v>
      </c>
      <c r="I162" s="3" t="n">
        <v>206</v>
      </c>
      <c r="J162" s="3" t="n">
        <v>1400352</v>
      </c>
      <c r="K162" s="3" t="n">
        <v>203449</v>
      </c>
      <c r="L162" s="3" t="n">
        <f aca="false">J162-K162</f>
        <v>1196903</v>
      </c>
    </row>
    <row r="163" customFormat="false" ht="15" hidden="false" customHeight="false" outlineLevel="0" collapsed="false">
      <c r="A163" s="2" t="s">
        <v>31</v>
      </c>
      <c r="B163" s="2" t="s">
        <v>32</v>
      </c>
      <c r="C163" s="2" t="n">
        <v>2025</v>
      </c>
      <c r="D163" s="2" t="n">
        <v>9</v>
      </c>
      <c r="E163" s="2" t="s">
        <v>58</v>
      </c>
      <c r="F163" s="3" t="n">
        <v>664</v>
      </c>
      <c r="G163" s="3" t="n">
        <v>129</v>
      </c>
      <c r="H163" s="3" t="n">
        <v>2314</v>
      </c>
      <c r="I163" s="3" t="n">
        <v>183</v>
      </c>
      <c r="J163" s="3" t="n">
        <v>1468440</v>
      </c>
      <c r="K163" s="3" t="n">
        <v>237361</v>
      </c>
      <c r="L163" s="3" t="n">
        <f aca="false">J163-K163</f>
        <v>1231079</v>
      </c>
    </row>
    <row r="164" customFormat="false" ht="15" hidden="false" customHeight="false" outlineLevel="0" collapsed="false">
      <c r="A164" s="2" t="s">
        <v>33</v>
      </c>
      <c r="B164" s="2" t="s">
        <v>34</v>
      </c>
      <c r="C164" s="2" t="n">
        <v>2025</v>
      </c>
      <c r="D164" s="2" t="n">
        <v>9</v>
      </c>
      <c r="E164" s="2" t="s">
        <v>58</v>
      </c>
      <c r="F164" s="3" t="n">
        <v>1999</v>
      </c>
      <c r="G164" s="3" t="n">
        <v>284</v>
      </c>
      <c r="H164" s="3" t="n">
        <v>3212</v>
      </c>
      <c r="I164" s="3" t="n">
        <v>410</v>
      </c>
      <c r="J164" s="3" t="n">
        <v>2278352</v>
      </c>
      <c r="K164" s="3" t="n">
        <v>108967</v>
      </c>
      <c r="L164" s="3" t="n">
        <f aca="false">J164-K164</f>
        <v>2169385</v>
      </c>
    </row>
    <row r="165" customFormat="false" ht="15" hidden="false" customHeight="false" outlineLevel="0" collapsed="false">
      <c r="A165" s="2" t="s">
        <v>35</v>
      </c>
      <c r="B165" s="2" t="s">
        <v>36</v>
      </c>
      <c r="C165" s="2" t="n">
        <v>2025</v>
      </c>
      <c r="D165" s="2" t="n">
        <v>9</v>
      </c>
      <c r="E165" s="2" t="s">
        <v>58</v>
      </c>
      <c r="F165" s="3" t="n">
        <v>513</v>
      </c>
      <c r="G165" s="3" t="n">
        <v>66</v>
      </c>
      <c r="H165" s="3" t="n">
        <v>1155</v>
      </c>
      <c r="I165" s="3" t="n">
        <v>146</v>
      </c>
      <c r="J165" s="3" t="n">
        <v>1352471</v>
      </c>
      <c r="K165" s="3" t="n">
        <v>118330</v>
      </c>
      <c r="L165" s="3" t="n">
        <f aca="false">J165-K165</f>
        <v>1234141</v>
      </c>
    </row>
    <row r="166" customFormat="false" ht="15" hidden="false" customHeight="false" outlineLevel="0" collapsed="false">
      <c r="A166" s="2" t="s">
        <v>37</v>
      </c>
      <c r="B166" s="2" t="s">
        <v>38</v>
      </c>
      <c r="C166" s="2" t="n">
        <v>2025</v>
      </c>
      <c r="D166" s="2" t="n">
        <v>9</v>
      </c>
      <c r="E166" s="2" t="s">
        <v>58</v>
      </c>
      <c r="F166" s="3" t="n">
        <v>518</v>
      </c>
      <c r="G166" s="3" t="n">
        <v>54</v>
      </c>
      <c r="H166" s="3" t="n">
        <v>1113</v>
      </c>
      <c r="I166" s="3" t="n">
        <v>159</v>
      </c>
      <c r="J166" s="3" t="n">
        <v>712362</v>
      </c>
      <c r="K166" s="3" t="n">
        <v>82622</v>
      </c>
      <c r="L166" s="3" t="n">
        <f aca="false">J166-K166</f>
        <v>629740</v>
      </c>
    </row>
    <row r="167" customFormat="false" ht="15" hidden="false" customHeight="false" outlineLevel="0" collapsed="false">
      <c r="A167" s="2" t="s">
        <v>39</v>
      </c>
      <c r="B167" s="2" t="s">
        <v>40</v>
      </c>
      <c r="C167" s="2" t="n">
        <v>2025</v>
      </c>
      <c r="D167" s="2" t="n">
        <v>9</v>
      </c>
      <c r="E167" s="2" t="s">
        <v>58</v>
      </c>
      <c r="F167" s="3" t="n">
        <v>621</v>
      </c>
      <c r="G167" s="3" t="n">
        <v>78</v>
      </c>
      <c r="H167" s="3" t="n">
        <v>1729</v>
      </c>
      <c r="I167" s="3" t="n">
        <v>162</v>
      </c>
      <c r="J167" s="3" t="n">
        <v>1036164</v>
      </c>
      <c r="K167" s="3" t="n">
        <v>142219</v>
      </c>
      <c r="L167" s="3" t="n">
        <f aca="false">J167-K167</f>
        <v>893945</v>
      </c>
    </row>
    <row r="168" customFormat="false" ht="15" hidden="false" customHeight="false" outlineLevel="0" collapsed="false">
      <c r="A168" s="2" t="s">
        <v>41</v>
      </c>
      <c r="B168" s="2" t="s">
        <v>42</v>
      </c>
      <c r="C168" s="2" t="n">
        <v>2025</v>
      </c>
      <c r="D168" s="2" t="n">
        <v>9</v>
      </c>
      <c r="E168" s="2" t="s">
        <v>58</v>
      </c>
      <c r="F168" s="3" t="n">
        <v>421</v>
      </c>
      <c r="G168" s="3" t="n">
        <v>62</v>
      </c>
      <c r="H168" s="3" t="n">
        <v>846</v>
      </c>
      <c r="I168" s="3" t="n">
        <v>125</v>
      </c>
      <c r="J168" s="3" t="n">
        <v>858188</v>
      </c>
      <c r="K168" s="3" t="n">
        <v>88536</v>
      </c>
      <c r="L168" s="3" t="n">
        <f aca="false">J168-K168</f>
        <v>769652</v>
      </c>
    </row>
    <row r="169" customFormat="false" ht="15" hidden="false" customHeight="false" outlineLevel="0" collapsed="false">
      <c r="A169" s="2" t="s">
        <v>43</v>
      </c>
      <c r="B169" s="2" t="s">
        <v>44</v>
      </c>
      <c r="C169" s="2" t="n">
        <v>2025</v>
      </c>
      <c r="D169" s="2" t="n">
        <v>9</v>
      </c>
      <c r="E169" s="2" t="s">
        <v>58</v>
      </c>
      <c r="F169" s="3" t="n">
        <v>1760</v>
      </c>
      <c r="G169" s="3" t="n">
        <v>173</v>
      </c>
      <c r="H169" s="3" t="n">
        <v>3978</v>
      </c>
      <c r="I169" s="3" t="n">
        <v>290</v>
      </c>
      <c r="J169" s="3" t="n">
        <v>2054883</v>
      </c>
      <c r="K169" s="3" t="n">
        <v>512603</v>
      </c>
      <c r="L169" s="3" t="n">
        <f aca="false">J169-K169</f>
        <v>1542280</v>
      </c>
    </row>
    <row r="170" customFormat="false" ht="15" hidden="false" customHeight="false" outlineLevel="0" collapsed="false">
      <c r="A170" s="2" t="s">
        <v>45</v>
      </c>
      <c r="B170" s="2" t="s">
        <v>46</v>
      </c>
      <c r="C170" s="2" t="n">
        <v>2025</v>
      </c>
      <c r="D170" s="2" t="n">
        <v>9</v>
      </c>
      <c r="E170" s="2" t="s">
        <v>58</v>
      </c>
      <c r="F170" s="3" t="n">
        <v>564</v>
      </c>
      <c r="G170" s="3" t="n">
        <v>72</v>
      </c>
      <c r="H170" s="3" t="n">
        <v>1547</v>
      </c>
      <c r="I170" s="3" t="n">
        <v>109</v>
      </c>
      <c r="J170" s="3" t="n">
        <v>1682592</v>
      </c>
      <c r="K170" s="3" t="n">
        <v>131291</v>
      </c>
      <c r="L170" s="3" t="n">
        <f aca="false">J170-K170</f>
        <v>1551301</v>
      </c>
    </row>
    <row r="171" customFormat="false" ht="15" hidden="false" customHeight="false" outlineLevel="0" collapsed="false">
      <c r="A171" s="2" t="s">
        <v>47</v>
      </c>
      <c r="B171" s="2" t="s">
        <v>48</v>
      </c>
      <c r="C171" s="2" t="n">
        <v>2025</v>
      </c>
      <c r="D171" s="2" t="n">
        <v>9</v>
      </c>
      <c r="E171" s="2" t="s">
        <v>58</v>
      </c>
      <c r="F171" s="3" t="n">
        <v>703</v>
      </c>
      <c r="G171" s="3" t="n">
        <v>61</v>
      </c>
      <c r="H171" s="3" t="n">
        <v>1033</v>
      </c>
      <c r="I171" s="3" t="n">
        <v>142</v>
      </c>
      <c r="J171" s="3" t="n">
        <v>922815</v>
      </c>
      <c r="K171" s="3" t="n">
        <v>95955</v>
      </c>
      <c r="L171" s="3" t="n">
        <f aca="false">J171-K171</f>
        <v>826860</v>
      </c>
    </row>
    <row r="172" customFormat="false" ht="15" hidden="false" customHeight="false" outlineLevel="0" collapsed="false">
      <c r="A172" s="2" t="s">
        <v>49</v>
      </c>
      <c r="B172" s="2" t="s">
        <v>50</v>
      </c>
      <c r="C172" s="2" t="n">
        <v>2025</v>
      </c>
      <c r="D172" s="2" t="n">
        <v>9</v>
      </c>
      <c r="E172" s="2" t="s">
        <v>58</v>
      </c>
      <c r="F172" s="3" t="n">
        <v>1499</v>
      </c>
      <c r="G172" s="3" t="n">
        <v>154</v>
      </c>
      <c r="H172" s="3" t="n">
        <v>3481</v>
      </c>
      <c r="I172" s="3" t="n">
        <v>457</v>
      </c>
      <c r="J172" s="3" t="n">
        <v>2501095</v>
      </c>
      <c r="K172" s="3" t="n">
        <v>347868</v>
      </c>
      <c r="L172" s="3" t="n">
        <f aca="false">J172-K172</f>
        <v>2153227</v>
      </c>
    </row>
    <row r="173" customFormat="false" ht="15" hidden="false" customHeight="false" outlineLevel="0" collapsed="false">
      <c r="A173" s="2" t="s">
        <v>12</v>
      </c>
      <c r="B173" s="2" t="s">
        <v>13</v>
      </c>
      <c r="C173" s="2" t="n">
        <v>2025</v>
      </c>
      <c r="D173" s="2" t="n">
        <v>10</v>
      </c>
      <c r="E173" s="2" t="s">
        <v>59</v>
      </c>
      <c r="F173" s="3" t="n">
        <v>172613</v>
      </c>
      <c r="G173" s="3" t="n">
        <v>35888</v>
      </c>
      <c r="H173" s="3" t="n">
        <v>270260</v>
      </c>
      <c r="I173" s="3" t="n">
        <v>56911</v>
      </c>
      <c r="J173" s="3" t="n">
        <v>219310274</v>
      </c>
      <c r="K173" s="3" t="n">
        <v>42048229</v>
      </c>
      <c r="L173" s="3" t="n">
        <f aca="false">J173-K173</f>
        <v>177262045</v>
      </c>
    </row>
    <row r="174" customFormat="false" ht="15" hidden="false" customHeight="false" outlineLevel="0" collapsed="false">
      <c r="A174" s="2" t="s">
        <v>15</v>
      </c>
      <c r="B174" s="2" t="s">
        <v>16</v>
      </c>
      <c r="C174" s="2" t="n">
        <v>2025</v>
      </c>
      <c r="D174" s="2" t="n">
        <v>10</v>
      </c>
      <c r="E174" s="2" t="s">
        <v>59</v>
      </c>
      <c r="F174" s="3" t="n">
        <v>1614</v>
      </c>
      <c r="G174" s="3" t="n">
        <v>226</v>
      </c>
      <c r="H174" s="3" t="n">
        <v>3409</v>
      </c>
      <c r="I174" s="3" t="n">
        <v>379</v>
      </c>
      <c r="J174" s="3" t="n">
        <v>1959107</v>
      </c>
      <c r="K174" s="3" t="n">
        <v>347211</v>
      </c>
      <c r="L174" s="3" t="n">
        <f aca="false">J174-K174</f>
        <v>1611896</v>
      </c>
    </row>
    <row r="175" customFormat="false" ht="15" hidden="false" customHeight="false" outlineLevel="0" collapsed="false">
      <c r="A175" s="2" t="s">
        <v>17</v>
      </c>
      <c r="B175" s="2" t="s">
        <v>18</v>
      </c>
      <c r="C175" s="2" t="n">
        <v>2025</v>
      </c>
      <c r="D175" s="2" t="n">
        <v>10</v>
      </c>
      <c r="E175" s="2" t="s">
        <v>59</v>
      </c>
      <c r="F175" s="3" t="n">
        <v>1134</v>
      </c>
      <c r="G175" s="3" t="n">
        <v>135</v>
      </c>
      <c r="H175" s="3" t="n">
        <v>2215</v>
      </c>
      <c r="I175" s="3" t="n">
        <v>2873</v>
      </c>
      <c r="J175" s="3" t="n">
        <v>2116385</v>
      </c>
      <c r="K175" s="3" t="n">
        <v>264464</v>
      </c>
      <c r="L175" s="3" t="n">
        <f aca="false">J175-K175</f>
        <v>1851921</v>
      </c>
    </row>
    <row r="176" customFormat="false" ht="15" hidden="false" customHeight="false" outlineLevel="0" collapsed="false">
      <c r="A176" s="2" t="s">
        <v>19</v>
      </c>
      <c r="B176" s="2" t="s">
        <v>20</v>
      </c>
      <c r="C176" s="2" t="n">
        <v>2025</v>
      </c>
      <c r="D176" s="2" t="n">
        <v>10</v>
      </c>
      <c r="E176" s="2" t="s">
        <v>59</v>
      </c>
      <c r="F176" s="3" t="n">
        <v>299</v>
      </c>
      <c r="G176" s="3" t="n">
        <v>239</v>
      </c>
      <c r="H176" s="3" t="n">
        <v>912</v>
      </c>
      <c r="I176" s="3" t="n">
        <v>239</v>
      </c>
      <c r="J176" s="3" t="n">
        <v>640655</v>
      </c>
      <c r="K176" s="3" t="n">
        <v>73506</v>
      </c>
      <c r="L176" s="3" t="n">
        <f aca="false">J176-K176</f>
        <v>567149</v>
      </c>
    </row>
    <row r="177" customFormat="false" ht="15" hidden="false" customHeight="false" outlineLevel="0" collapsed="false">
      <c r="A177" s="2" t="s">
        <v>21</v>
      </c>
      <c r="B177" s="2" t="s">
        <v>22</v>
      </c>
      <c r="C177" s="2" t="n">
        <v>2025</v>
      </c>
      <c r="D177" s="2" t="n">
        <v>10</v>
      </c>
      <c r="E177" s="2" t="s">
        <v>59</v>
      </c>
      <c r="F177" s="3" t="n">
        <v>1701</v>
      </c>
      <c r="G177" s="3" t="n">
        <v>131</v>
      </c>
      <c r="H177" s="3" t="n">
        <v>2062</v>
      </c>
      <c r="I177" s="3" t="n">
        <v>163</v>
      </c>
      <c r="J177" s="3" t="n">
        <v>1724153</v>
      </c>
      <c r="K177" s="3" t="n">
        <v>249284</v>
      </c>
      <c r="L177" s="3" t="n">
        <f aca="false">J177-K177</f>
        <v>1474869</v>
      </c>
    </row>
    <row r="178" customFormat="false" ht="15" hidden="false" customHeight="false" outlineLevel="0" collapsed="false">
      <c r="A178" s="2" t="s">
        <v>23</v>
      </c>
      <c r="B178" s="2" t="s">
        <v>24</v>
      </c>
      <c r="C178" s="2" t="n">
        <v>2025</v>
      </c>
      <c r="D178" s="2" t="n">
        <v>10</v>
      </c>
      <c r="E178" s="2" t="s">
        <v>59</v>
      </c>
      <c r="F178" s="3" t="n">
        <v>155462</v>
      </c>
      <c r="G178" s="3" t="n">
        <v>33441</v>
      </c>
      <c r="H178" s="3" t="n">
        <v>233842</v>
      </c>
      <c r="I178" s="3" t="n">
        <v>50235</v>
      </c>
      <c r="J178" s="3" t="n">
        <v>192729649</v>
      </c>
      <c r="K178" s="3" t="n">
        <v>38472322</v>
      </c>
      <c r="L178" s="3" t="n">
        <f aca="false">J178-K178</f>
        <v>154257327</v>
      </c>
    </row>
    <row r="179" customFormat="false" ht="15" hidden="false" customHeight="false" outlineLevel="0" collapsed="false">
      <c r="A179" s="2" t="s">
        <v>25</v>
      </c>
      <c r="B179" s="2" t="s">
        <v>26</v>
      </c>
      <c r="C179" s="2" t="n">
        <v>2025</v>
      </c>
      <c r="D179" s="2" t="n">
        <v>10</v>
      </c>
      <c r="E179" s="2" t="s">
        <v>59</v>
      </c>
      <c r="F179" s="3" t="n">
        <v>110</v>
      </c>
      <c r="G179" s="3" t="n">
        <v>32</v>
      </c>
      <c r="H179" s="3" t="n">
        <v>204</v>
      </c>
      <c r="I179" s="3" t="n">
        <v>35</v>
      </c>
      <c r="J179" s="3" t="n">
        <v>230078</v>
      </c>
      <c r="K179" s="3" t="n">
        <v>11484</v>
      </c>
      <c r="L179" s="3" t="n">
        <f aca="false">J179-K179</f>
        <v>218594</v>
      </c>
    </row>
    <row r="180" customFormat="false" ht="15" hidden="false" customHeight="false" outlineLevel="0" collapsed="false">
      <c r="A180" s="2" t="s">
        <v>27</v>
      </c>
      <c r="B180" s="2" t="s">
        <v>28</v>
      </c>
      <c r="C180" s="2" t="n">
        <v>2025</v>
      </c>
      <c r="D180" s="2" t="n">
        <v>10</v>
      </c>
      <c r="E180" s="2" t="s">
        <v>59</v>
      </c>
      <c r="F180" s="3" t="n">
        <v>639</v>
      </c>
      <c r="G180" s="3" t="n">
        <v>95</v>
      </c>
      <c r="H180" s="3" t="n">
        <v>1337</v>
      </c>
      <c r="I180" s="3" t="n">
        <v>150</v>
      </c>
      <c r="J180" s="3" t="n">
        <v>867994</v>
      </c>
      <c r="K180" s="3" t="n">
        <v>108658</v>
      </c>
      <c r="L180" s="3" t="n">
        <f aca="false">J180-K180</f>
        <v>759336</v>
      </c>
    </row>
    <row r="181" customFormat="false" ht="15" hidden="false" customHeight="false" outlineLevel="0" collapsed="false">
      <c r="A181" s="2" t="s">
        <v>29</v>
      </c>
      <c r="B181" s="2" t="s">
        <v>30</v>
      </c>
      <c r="C181" s="2" t="n">
        <v>2025</v>
      </c>
      <c r="D181" s="2" t="n">
        <v>10</v>
      </c>
      <c r="E181" s="2" t="s">
        <v>59</v>
      </c>
      <c r="F181" s="3" t="n">
        <v>740</v>
      </c>
      <c r="G181" s="3" t="n">
        <v>213</v>
      </c>
      <c r="H181" s="3" t="n">
        <v>2344</v>
      </c>
      <c r="I181" s="3" t="n">
        <v>232</v>
      </c>
      <c r="J181" s="3" t="n">
        <v>1698408</v>
      </c>
      <c r="K181" s="3" t="n">
        <v>232435</v>
      </c>
      <c r="L181" s="3" t="n">
        <f aca="false">J181-K181</f>
        <v>1465973</v>
      </c>
    </row>
    <row r="182" customFormat="false" ht="15" hidden="false" customHeight="false" outlineLevel="0" collapsed="false">
      <c r="A182" s="2" t="s">
        <v>31</v>
      </c>
      <c r="B182" s="2" t="s">
        <v>32</v>
      </c>
      <c r="C182" s="2" t="n">
        <v>2025</v>
      </c>
      <c r="D182" s="2" t="n">
        <v>10</v>
      </c>
      <c r="E182" s="2" t="s">
        <v>59</v>
      </c>
      <c r="F182" s="3" t="n">
        <v>748</v>
      </c>
      <c r="G182" s="3" t="n">
        <v>137</v>
      </c>
      <c r="H182" s="3" t="n">
        <v>2610</v>
      </c>
      <c r="I182" s="3" t="n">
        <v>191</v>
      </c>
      <c r="J182" s="3" t="n">
        <v>1676351</v>
      </c>
      <c r="K182" s="3" t="n">
        <v>250661</v>
      </c>
      <c r="L182" s="3" t="n">
        <f aca="false">J182-K182</f>
        <v>1425690</v>
      </c>
    </row>
    <row r="183" customFormat="false" ht="15" hidden="false" customHeight="false" outlineLevel="0" collapsed="false">
      <c r="A183" s="2" t="s">
        <v>33</v>
      </c>
      <c r="B183" s="2" t="s">
        <v>34</v>
      </c>
      <c r="C183" s="2" t="n">
        <v>2025</v>
      </c>
      <c r="D183" s="2" t="n">
        <v>10</v>
      </c>
      <c r="E183" s="2" t="s">
        <v>59</v>
      </c>
      <c r="F183" s="3" t="n">
        <v>2431</v>
      </c>
      <c r="G183" s="3" t="n">
        <v>349</v>
      </c>
      <c r="H183" s="3" t="n">
        <v>3952</v>
      </c>
      <c r="I183" s="3" t="n">
        <v>494</v>
      </c>
      <c r="J183" s="3" t="n">
        <v>2869179</v>
      </c>
      <c r="K183" s="3" t="n">
        <v>131667</v>
      </c>
      <c r="L183" s="3" t="n">
        <f aca="false">J183-K183</f>
        <v>2737512</v>
      </c>
    </row>
    <row r="184" customFormat="false" ht="15" hidden="false" customHeight="false" outlineLevel="0" collapsed="false">
      <c r="A184" s="2" t="s">
        <v>35</v>
      </c>
      <c r="B184" s="2" t="s">
        <v>36</v>
      </c>
      <c r="C184" s="2" t="n">
        <v>2025</v>
      </c>
      <c r="D184" s="2" t="n">
        <v>10</v>
      </c>
      <c r="E184" s="2" t="s">
        <v>59</v>
      </c>
      <c r="F184" s="3" t="n">
        <v>611</v>
      </c>
      <c r="G184" s="3" t="n">
        <v>76</v>
      </c>
      <c r="H184" s="3" t="n">
        <v>1415</v>
      </c>
      <c r="I184" s="3" t="n">
        <v>166</v>
      </c>
      <c r="J184" s="3" t="n">
        <v>1551541</v>
      </c>
      <c r="K184" s="3" t="n">
        <v>133074</v>
      </c>
      <c r="L184" s="3" t="n">
        <f aca="false">J184-K184</f>
        <v>1418467</v>
      </c>
    </row>
    <row r="185" customFormat="false" ht="15" hidden="false" customHeight="false" outlineLevel="0" collapsed="false">
      <c r="A185" s="2" t="s">
        <v>37</v>
      </c>
      <c r="B185" s="2" t="s">
        <v>38</v>
      </c>
      <c r="C185" s="2" t="n">
        <v>2025</v>
      </c>
      <c r="D185" s="2" t="n">
        <v>10</v>
      </c>
      <c r="E185" s="2" t="s">
        <v>59</v>
      </c>
      <c r="F185" s="3" t="n">
        <v>569</v>
      </c>
      <c r="G185" s="3" t="n">
        <v>79</v>
      </c>
      <c r="H185" s="3" t="n">
        <v>1201</v>
      </c>
      <c r="I185" s="3" t="n">
        <v>237</v>
      </c>
      <c r="J185" s="3" t="n">
        <v>791451</v>
      </c>
      <c r="K185" s="3" t="n">
        <v>115571</v>
      </c>
      <c r="L185" s="3" t="n">
        <f aca="false">J185-K185</f>
        <v>675880</v>
      </c>
    </row>
    <row r="186" customFormat="false" ht="15" hidden="false" customHeight="false" outlineLevel="0" collapsed="false">
      <c r="A186" s="2" t="s">
        <v>39</v>
      </c>
      <c r="B186" s="2" t="s">
        <v>40</v>
      </c>
      <c r="C186" s="2" t="n">
        <v>2025</v>
      </c>
      <c r="D186" s="2" t="n">
        <v>10</v>
      </c>
      <c r="E186" s="2" t="s">
        <v>59</v>
      </c>
      <c r="F186" s="3" t="n">
        <v>718</v>
      </c>
      <c r="G186" s="3" t="n">
        <v>81</v>
      </c>
      <c r="H186" s="3" t="n">
        <v>1947</v>
      </c>
      <c r="I186" s="3" t="n">
        <v>164</v>
      </c>
      <c r="J186" s="3" t="n">
        <v>1139864</v>
      </c>
      <c r="K186" s="3" t="n">
        <v>144710</v>
      </c>
      <c r="L186" s="3" t="n">
        <f aca="false">J186-K186</f>
        <v>995154</v>
      </c>
    </row>
    <row r="187" customFormat="false" ht="15" hidden="false" customHeight="false" outlineLevel="0" collapsed="false">
      <c r="A187" s="2" t="s">
        <v>41</v>
      </c>
      <c r="B187" s="2" t="s">
        <v>42</v>
      </c>
      <c r="C187" s="2" t="n">
        <v>2025</v>
      </c>
      <c r="D187" s="2" t="n">
        <v>10</v>
      </c>
      <c r="E187" s="2" t="s">
        <v>59</v>
      </c>
      <c r="F187" s="3" t="n">
        <v>489</v>
      </c>
      <c r="G187" s="3" t="n">
        <v>66</v>
      </c>
      <c r="H187" s="3" t="n">
        <v>1022</v>
      </c>
      <c r="I187" s="3" t="n">
        <v>130</v>
      </c>
      <c r="J187" s="3" t="n">
        <v>1044322</v>
      </c>
      <c r="K187" s="3" t="n">
        <v>97010</v>
      </c>
      <c r="L187" s="3" t="n">
        <f aca="false">J187-K187</f>
        <v>947312</v>
      </c>
    </row>
    <row r="188" customFormat="false" ht="15" hidden="false" customHeight="false" outlineLevel="0" collapsed="false">
      <c r="A188" s="2" t="s">
        <v>43</v>
      </c>
      <c r="B188" s="2" t="s">
        <v>44</v>
      </c>
      <c r="C188" s="2" t="n">
        <v>2025</v>
      </c>
      <c r="D188" s="2" t="n">
        <v>10</v>
      </c>
      <c r="E188" s="2" t="s">
        <v>59</v>
      </c>
      <c r="F188" s="3" t="n">
        <v>2249</v>
      </c>
      <c r="G188" s="3" t="n">
        <v>234</v>
      </c>
      <c r="H188" s="3" t="n">
        <v>5062</v>
      </c>
      <c r="I188" s="3" t="n">
        <v>382</v>
      </c>
      <c r="J188" s="3" t="n">
        <v>2638156</v>
      </c>
      <c r="K188" s="3" t="n">
        <v>700397</v>
      </c>
      <c r="L188" s="3" t="n">
        <f aca="false">J188-K188</f>
        <v>1937759</v>
      </c>
    </row>
    <row r="189" customFormat="false" ht="15" hidden="false" customHeight="false" outlineLevel="0" collapsed="false">
      <c r="A189" s="2" t="s">
        <v>45</v>
      </c>
      <c r="B189" s="2" t="s">
        <v>46</v>
      </c>
      <c r="C189" s="2" t="n">
        <v>2025</v>
      </c>
      <c r="D189" s="2" t="n">
        <v>10</v>
      </c>
      <c r="E189" s="2" t="s">
        <v>59</v>
      </c>
      <c r="F189" s="3" t="n">
        <v>601</v>
      </c>
      <c r="G189" s="3" t="n">
        <v>108</v>
      </c>
      <c r="H189" s="3" t="n">
        <v>1646</v>
      </c>
      <c r="I189" s="3" t="n">
        <v>162</v>
      </c>
      <c r="J189" s="3" t="n">
        <v>1821338</v>
      </c>
      <c r="K189" s="3" t="n">
        <v>196519</v>
      </c>
      <c r="L189" s="3" t="n">
        <f aca="false">J189-K189</f>
        <v>1624819</v>
      </c>
    </row>
    <row r="190" customFormat="false" ht="15" hidden="false" customHeight="false" outlineLevel="0" collapsed="false">
      <c r="A190" s="2" t="s">
        <v>47</v>
      </c>
      <c r="B190" s="2" t="s">
        <v>48</v>
      </c>
      <c r="C190" s="2" t="n">
        <v>2025</v>
      </c>
      <c r="D190" s="2" t="n">
        <v>10</v>
      </c>
      <c r="E190" s="2" t="s">
        <v>59</v>
      </c>
      <c r="F190" s="3" t="n">
        <v>754</v>
      </c>
      <c r="G190" s="3" t="n">
        <v>67</v>
      </c>
      <c r="H190" s="3" t="n">
        <v>1100</v>
      </c>
      <c r="I190" s="3" t="n">
        <v>154</v>
      </c>
      <c r="J190" s="3" t="n">
        <v>1011068</v>
      </c>
      <c r="K190" s="3" t="n">
        <v>103441</v>
      </c>
      <c r="L190" s="3" t="n">
        <f aca="false">J190-K190</f>
        <v>907627</v>
      </c>
    </row>
    <row r="191" customFormat="false" ht="15" hidden="false" customHeight="false" outlineLevel="0" collapsed="false">
      <c r="A191" s="2" t="s">
        <v>49</v>
      </c>
      <c r="B191" s="2" t="s">
        <v>50</v>
      </c>
      <c r="C191" s="2" t="n">
        <v>2025</v>
      </c>
      <c r="D191" s="2" t="n">
        <v>10</v>
      </c>
      <c r="E191" s="2" t="s">
        <v>59</v>
      </c>
      <c r="F191" s="3" t="n">
        <v>1744</v>
      </c>
      <c r="G191" s="3" t="n">
        <v>179</v>
      </c>
      <c r="H191" s="3" t="n">
        <v>3980</v>
      </c>
      <c r="I191" s="3" t="n">
        <v>525</v>
      </c>
      <c r="J191" s="3" t="n">
        <v>2800575</v>
      </c>
      <c r="K191" s="3" t="n">
        <v>415815</v>
      </c>
      <c r="L191" s="3" t="n">
        <f aca="false">J191-K191</f>
        <v>2384760</v>
      </c>
    </row>
    <row r="192" customFormat="false" ht="15" hidden="false" customHeight="false" outlineLevel="0" collapsed="false">
      <c r="A192" s="2" t="s">
        <v>12</v>
      </c>
      <c r="B192" s="2" t="s">
        <v>13</v>
      </c>
      <c r="C192" s="2" t="n">
        <v>2025</v>
      </c>
      <c r="D192" s="2" t="n">
        <v>11</v>
      </c>
      <c r="E192" s="2" t="s">
        <v>60</v>
      </c>
      <c r="F192" s="3" t="n">
        <v>203982</v>
      </c>
      <c r="G192" s="3" t="n">
        <v>41400</v>
      </c>
      <c r="H192" s="3" t="n">
        <v>323035</v>
      </c>
      <c r="I192" s="3" t="n">
        <v>64105</v>
      </c>
      <c r="J192" s="3" t="n">
        <v>250929154</v>
      </c>
      <c r="K192" s="3" t="n">
        <v>47738102</v>
      </c>
      <c r="L192" s="3" t="n">
        <f aca="false">J192-K192</f>
        <v>203191052</v>
      </c>
    </row>
    <row r="193" customFormat="false" ht="15" hidden="false" customHeight="false" outlineLevel="0" collapsed="false">
      <c r="A193" s="2" t="s">
        <v>15</v>
      </c>
      <c r="B193" s="2" t="s">
        <v>16</v>
      </c>
      <c r="C193" s="2" t="n">
        <v>2025</v>
      </c>
      <c r="D193" s="2" t="n">
        <v>11</v>
      </c>
      <c r="E193" s="2" t="s">
        <v>60</v>
      </c>
      <c r="F193" s="3" t="n">
        <v>1603</v>
      </c>
      <c r="G193" s="3" t="n">
        <v>261</v>
      </c>
      <c r="H193" s="3" t="n">
        <v>3364</v>
      </c>
      <c r="I193" s="3" t="n">
        <v>444</v>
      </c>
      <c r="J193" s="3" t="n">
        <v>1841433</v>
      </c>
      <c r="K193" s="3" t="n">
        <v>415437</v>
      </c>
      <c r="L193" s="3" t="n">
        <f aca="false">J193-K193</f>
        <v>1425996</v>
      </c>
    </row>
    <row r="194" customFormat="false" ht="15" hidden="false" customHeight="false" outlineLevel="0" collapsed="false">
      <c r="A194" s="2" t="s">
        <v>17</v>
      </c>
      <c r="B194" s="2" t="s">
        <v>18</v>
      </c>
      <c r="C194" s="2" t="n">
        <v>2025</v>
      </c>
      <c r="D194" s="2" t="n">
        <v>11</v>
      </c>
      <c r="E194" s="2" t="s">
        <v>60</v>
      </c>
      <c r="F194" s="3" t="n">
        <v>1202</v>
      </c>
      <c r="G194" s="3" t="n">
        <v>157</v>
      </c>
      <c r="H194" s="3" t="n">
        <v>2405</v>
      </c>
      <c r="I194" s="3" t="n">
        <v>3415</v>
      </c>
      <c r="J194" s="3" t="n">
        <v>2142891</v>
      </c>
      <c r="K194" s="3" t="n">
        <v>323750</v>
      </c>
      <c r="L194" s="3" t="n">
        <f aca="false">J194-K194</f>
        <v>1819141</v>
      </c>
    </row>
    <row r="195" customFormat="false" ht="15" hidden="false" customHeight="false" outlineLevel="0" collapsed="false">
      <c r="A195" s="2" t="s">
        <v>19</v>
      </c>
      <c r="B195" s="2" t="s">
        <v>20</v>
      </c>
      <c r="C195" s="2" t="n">
        <v>2025</v>
      </c>
      <c r="D195" s="2" t="n">
        <v>11</v>
      </c>
      <c r="E195" s="2" t="s">
        <v>60</v>
      </c>
      <c r="F195" s="3" t="n">
        <v>359</v>
      </c>
      <c r="G195" s="3" t="n">
        <v>235</v>
      </c>
      <c r="H195" s="3" t="n">
        <v>1055</v>
      </c>
      <c r="I195" s="3" t="n">
        <v>235</v>
      </c>
      <c r="J195" s="3" t="n">
        <v>797644</v>
      </c>
      <c r="K195" s="3" t="n">
        <v>72438</v>
      </c>
      <c r="L195" s="3" t="n">
        <f aca="false">J195-K195</f>
        <v>725206</v>
      </c>
    </row>
    <row r="196" customFormat="false" ht="15" hidden="false" customHeight="false" outlineLevel="0" collapsed="false">
      <c r="A196" s="2" t="s">
        <v>21</v>
      </c>
      <c r="B196" s="2" t="s">
        <v>22</v>
      </c>
      <c r="C196" s="2" t="n">
        <v>2025</v>
      </c>
      <c r="D196" s="2" t="n">
        <v>11</v>
      </c>
      <c r="E196" s="2" t="s">
        <v>60</v>
      </c>
      <c r="F196" s="3" t="n">
        <v>2119</v>
      </c>
      <c r="G196" s="3" t="n">
        <v>170</v>
      </c>
      <c r="H196" s="3" t="n">
        <v>2583</v>
      </c>
      <c r="I196" s="3" t="n">
        <v>207</v>
      </c>
      <c r="J196" s="3" t="n">
        <v>2092653</v>
      </c>
      <c r="K196" s="3" t="n">
        <v>305756</v>
      </c>
      <c r="L196" s="3" t="n">
        <f aca="false">J196-K196</f>
        <v>1786897</v>
      </c>
    </row>
    <row r="197" customFormat="false" ht="15" hidden="false" customHeight="false" outlineLevel="0" collapsed="false">
      <c r="A197" s="2" t="s">
        <v>23</v>
      </c>
      <c r="B197" s="2" t="s">
        <v>24</v>
      </c>
      <c r="C197" s="2" t="n">
        <v>2025</v>
      </c>
      <c r="D197" s="2" t="n">
        <v>11</v>
      </c>
      <c r="E197" s="2" t="s">
        <v>60</v>
      </c>
      <c r="F197" s="3" t="n">
        <v>184521</v>
      </c>
      <c r="G197" s="3" t="n">
        <v>38744</v>
      </c>
      <c r="H197" s="3" t="n">
        <v>282318</v>
      </c>
      <c r="I197" s="3" t="n">
        <v>56597</v>
      </c>
      <c r="J197" s="3" t="n">
        <v>220840565</v>
      </c>
      <c r="K197" s="3" t="n">
        <v>43831000</v>
      </c>
      <c r="L197" s="3" t="n">
        <f aca="false">J197-K197</f>
        <v>177009565</v>
      </c>
    </row>
    <row r="198" customFormat="false" ht="15" hidden="false" customHeight="false" outlineLevel="0" collapsed="false">
      <c r="A198" s="2" t="s">
        <v>25</v>
      </c>
      <c r="B198" s="2" t="s">
        <v>26</v>
      </c>
      <c r="C198" s="2" t="n">
        <v>2025</v>
      </c>
      <c r="D198" s="2" t="n">
        <v>11</v>
      </c>
      <c r="E198" s="2" t="s">
        <v>60</v>
      </c>
      <c r="F198" s="3" t="n">
        <v>122</v>
      </c>
      <c r="G198" s="3" t="n">
        <v>35</v>
      </c>
      <c r="H198" s="3" t="n">
        <v>217</v>
      </c>
      <c r="I198" s="3" t="n">
        <v>38</v>
      </c>
      <c r="J198" s="3" t="n">
        <v>262571</v>
      </c>
      <c r="K198" s="3" t="n">
        <v>12956</v>
      </c>
      <c r="L198" s="3" t="n">
        <f aca="false">J198-K198</f>
        <v>249615</v>
      </c>
    </row>
    <row r="199" customFormat="false" ht="15" hidden="false" customHeight="false" outlineLevel="0" collapsed="false">
      <c r="A199" s="2" t="s">
        <v>27</v>
      </c>
      <c r="B199" s="2" t="s">
        <v>28</v>
      </c>
      <c r="C199" s="2" t="n">
        <v>2025</v>
      </c>
      <c r="D199" s="2" t="n">
        <v>11</v>
      </c>
      <c r="E199" s="2" t="s">
        <v>60</v>
      </c>
      <c r="F199" s="3" t="n">
        <v>646</v>
      </c>
      <c r="G199" s="3" t="n">
        <v>87</v>
      </c>
      <c r="H199" s="3" t="n">
        <v>1377</v>
      </c>
      <c r="I199" s="3" t="n">
        <v>136</v>
      </c>
      <c r="J199" s="3" t="n">
        <v>913458</v>
      </c>
      <c r="K199" s="3" t="n">
        <v>104606</v>
      </c>
      <c r="L199" s="3" t="n">
        <f aca="false">J199-K199</f>
        <v>808852</v>
      </c>
    </row>
    <row r="200" customFormat="false" ht="15" hidden="false" customHeight="false" outlineLevel="0" collapsed="false">
      <c r="A200" s="2" t="s">
        <v>29</v>
      </c>
      <c r="B200" s="2" t="s">
        <v>30</v>
      </c>
      <c r="C200" s="2" t="n">
        <v>2025</v>
      </c>
      <c r="D200" s="2" t="n">
        <v>11</v>
      </c>
      <c r="E200" s="2" t="s">
        <v>60</v>
      </c>
      <c r="F200" s="3" t="n">
        <v>720</v>
      </c>
      <c r="G200" s="3" t="n">
        <v>233</v>
      </c>
      <c r="H200" s="3" t="n">
        <v>2357</v>
      </c>
      <c r="I200" s="3" t="n">
        <v>251</v>
      </c>
      <c r="J200" s="3" t="n">
        <v>1668740</v>
      </c>
      <c r="K200" s="3" t="n">
        <v>261337</v>
      </c>
      <c r="L200" s="3" t="n">
        <f aca="false">J200-K200</f>
        <v>1407403</v>
      </c>
    </row>
    <row r="201" customFormat="false" ht="15" hidden="false" customHeight="false" outlineLevel="0" collapsed="false">
      <c r="A201" s="2" t="s">
        <v>31</v>
      </c>
      <c r="B201" s="2" t="s">
        <v>32</v>
      </c>
      <c r="C201" s="2" t="n">
        <v>2025</v>
      </c>
      <c r="D201" s="2" t="n">
        <v>11</v>
      </c>
      <c r="E201" s="2" t="s">
        <v>60</v>
      </c>
      <c r="F201" s="3" t="n">
        <v>808</v>
      </c>
      <c r="G201" s="3" t="n">
        <v>153</v>
      </c>
      <c r="H201" s="3" t="n">
        <v>2733</v>
      </c>
      <c r="I201" s="3" t="n">
        <v>215</v>
      </c>
      <c r="J201" s="3" t="n">
        <v>1802287</v>
      </c>
      <c r="K201" s="3" t="n">
        <v>278810</v>
      </c>
      <c r="L201" s="3" t="n">
        <f aca="false">J201-K201</f>
        <v>1523477</v>
      </c>
    </row>
    <row r="202" customFormat="false" ht="15" hidden="false" customHeight="false" outlineLevel="0" collapsed="false">
      <c r="A202" s="2" t="s">
        <v>33</v>
      </c>
      <c r="B202" s="2" t="s">
        <v>34</v>
      </c>
      <c r="C202" s="2" t="n">
        <v>2025</v>
      </c>
      <c r="D202" s="2" t="n">
        <v>11</v>
      </c>
      <c r="E202" s="2" t="s">
        <v>60</v>
      </c>
      <c r="F202" s="3" t="n">
        <v>2826</v>
      </c>
      <c r="G202" s="3" t="n">
        <v>377</v>
      </c>
      <c r="H202" s="3" t="n">
        <v>4655</v>
      </c>
      <c r="I202" s="3" t="n">
        <v>525</v>
      </c>
      <c r="J202" s="3" t="n">
        <v>3227852</v>
      </c>
      <c r="K202" s="3" t="n">
        <v>146001</v>
      </c>
      <c r="L202" s="3" t="n">
        <f aca="false">J202-K202</f>
        <v>3081851</v>
      </c>
    </row>
    <row r="203" customFormat="false" ht="15" hidden="false" customHeight="false" outlineLevel="0" collapsed="false">
      <c r="A203" s="2" t="s">
        <v>35</v>
      </c>
      <c r="B203" s="2" t="s">
        <v>36</v>
      </c>
      <c r="C203" s="2" t="n">
        <v>2025</v>
      </c>
      <c r="D203" s="2" t="n">
        <v>11</v>
      </c>
      <c r="E203" s="2" t="s">
        <v>60</v>
      </c>
      <c r="F203" s="3" t="n">
        <v>679</v>
      </c>
      <c r="G203" s="3" t="n">
        <v>94</v>
      </c>
      <c r="H203" s="3" t="n">
        <v>1524</v>
      </c>
      <c r="I203" s="3" t="n">
        <v>210</v>
      </c>
      <c r="J203" s="3" t="n">
        <v>1770882</v>
      </c>
      <c r="K203" s="3" t="n">
        <v>165327</v>
      </c>
      <c r="L203" s="3" t="n">
        <f aca="false">J203-K203</f>
        <v>1605555</v>
      </c>
    </row>
    <row r="204" customFormat="false" ht="15" hidden="false" customHeight="false" outlineLevel="0" collapsed="false">
      <c r="A204" s="2" t="s">
        <v>37</v>
      </c>
      <c r="B204" s="2" t="s">
        <v>38</v>
      </c>
      <c r="C204" s="2" t="n">
        <v>2025</v>
      </c>
      <c r="D204" s="2" t="n">
        <v>11</v>
      </c>
      <c r="E204" s="2" t="s">
        <v>60</v>
      </c>
      <c r="F204" s="3" t="n">
        <v>677</v>
      </c>
      <c r="G204" s="3" t="n">
        <v>87</v>
      </c>
      <c r="H204" s="3" t="n">
        <v>1414</v>
      </c>
      <c r="I204" s="3" t="n">
        <v>254</v>
      </c>
      <c r="J204" s="3" t="n">
        <v>969426</v>
      </c>
      <c r="K204" s="3" t="n">
        <v>125970</v>
      </c>
      <c r="L204" s="3" t="n">
        <f aca="false">J204-K204</f>
        <v>843456</v>
      </c>
    </row>
    <row r="205" customFormat="false" ht="15" hidden="false" customHeight="false" outlineLevel="0" collapsed="false">
      <c r="A205" s="2" t="s">
        <v>39</v>
      </c>
      <c r="B205" s="2" t="s">
        <v>40</v>
      </c>
      <c r="C205" s="2" t="n">
        <v>2025</v>
      </c>
      <c r="D205" s="2" t="n">
        <v>11</v>
      </c>
      <c r="E205" s="2" t="s">
        <v>60</v>
      </c>
      <c r="F205" s="3" t="n">
        <v>748</v>
      </c>
      <c r="G205" s="3" t="n">
        <v>101</v>
      </c>
      <c r="H205" s="3" t="n">
        <v>2053</v>
      </c>
      <c r="I205" s="3" t="n">
        <v>207</v>
      </c>
      <c r="J205" s="3" t="n">
        <v>1174973</v>
      </c>
      <c r="K205" s="3" t="n">
        <v>184660</v>
      </c>
      <c r="L205" s="3" t="n">
        <f aca="false">J205-K205</f>
        <v>990313</v>
      </c>
    </row>
    <row r="206" customFormat="false" ht="15" hidden="false" customHeight="false" outlineLevel="0" collapsed="false">
      <c r="A206" s="2" t="s">
        <v>41</v>
      </c>
      <c r="B206" s="2" t="s">
        <v>42</v>
      </c>
      <c r="C206" s="2" t="n">
        <v>2025</v>
      </c>
      <c r="D206" s="2" t="n">
        <v>11</v>
      </c>
      <c r="E206" s="2" t="s">
        <v>60</v>
      </c>
      <c r="F206" s="3" t="n">
        <v>555</v>
      </c>
      <c r="G206" s="3" t="n">
        <v>76</v>
      </c>
      <c r="H206" s="3" t="n">
        <v>1110</v>
      </c>
      <c r="I206" s="3" t="n">
        <v>153</v>
      </c>
      <c r="J206" s="3" t="n">
        <v>1178199</v>
      </c>
      <c r="K206" s="3" t="n">
        <v>114278</v>
      </c>
      <c r="L206" s="3" t="n">
        <f aca="false">J206-K206</f>
        <v>1063921</v>
      </c>
    </row>
    <row r="207" customFormat="false" ht="15" hidden="false" customHeight="false" outlineLevel="0" collapsed="false">
      <c r="A207" s="2" t="s">
        <v>43</v>
      </c>
      <c r="B207" s="2" t="s">
        <v>44</v>
      </c>
      <c r="C207" s="2" t="n">
        <v>2025</v>
      </c>
      <c r="D207" s="2" t="n">
        <v>11</v>
      </c>
      <c r="E207" s="2" t="s">
        <v>60</v>
      </c>
      <c r="F207" s="3" t="n">
        <v>2637</v>
      </c>
      <c r="G207" s="3" t="n">
        <v>214</v>
      </c>
      <c r="H207" s="3" t="n">
        <v>5823</v>
      </c>
      <c r="I207" s="3" t="n">
        <v>344</v>
      </c>
      <c r="J207" s="3" t="n">
        <v>3267228</v>
      </c>
      <c r="K207" s="3" t="n">
        <v>650700</v>
      </c>
      <c r="L207" s="3" t="n">
        <f aca="false">J207-K207</f>
        <v>2616528</v>
      </c>
    </row>
    <row r="208" customFormat="false" ht="15" hidden="false" customHeight="false" outlineLevel="0" collapsed="false">
      <c r="A208" s="2" t="s">
        <v>45</v>
      </c>
      <c r="B208" s="2" t="s">
        <v>46</v>
      </c>
      <c r="C208" s="2" t="n">
        <v>2025</v>
      </c>
      <c r="D208" s="2" t="n">
        <v>11</v>
      </c>
      <c r="E208" s="2" t="s">
        <v>60</v>
      </c>
      <c r="F208" s="3" t="n">
        <v>747</v>
      </c>
      <c r="G208" s="3" t="n">
        <v>118</v>
      </c>
      <c r="H208" s="3" t="n">
        <v>1978</v>
      </c>
      <c r="I208" s="3" t="n">
        <v>183</v>
      </c>
      <c r="J208" s="3" t="n">
        <v>2285115</v>
      </c>
      <c r="K208" s="3" t="n">
        <v>216300</v>
      </c>
      <c r="L208" s="3" t="n">
        <f aca="false">J208-K208</f>
        <v>2068815</v>
      </c>
    </row>
    <row r="209" customFormat="false" ht="15" hidden="false" customHeight="false" outlineLevel="0" collapsed="false">
      <c r="A209" s="2" t="s">
        <v>47</v>
      </c>
      <c r="B209" s="2" t="s">
        <v>48</v>
      </c>
      <c r="C209" s="2" t="n">
        <v>2025</v>
      </c>
      <c r="D209" s="2" t="n">
        <v>11</v>
      </c>
      <c r="E209" s="2" t="s">
        <v>60</v>
      </c>
      <c r="F209" s="3" t="n">
        <v>867</v>
      </c>
      <c r="G209" s="3" t="n">
        <v>82</v>
      </c>
      <c r="H209" s="3" t="n">
        <v>1259</v>
      </c>
      <c r="I209" s="3" t="n">
        <v>188</v>
      </c>
      <c r="J209" s="3" t="n">
        <v>1159007</v>
      </c>
      <c r="K209" s="3" t="n">
        <v>127143</v>
      </c>
      <c r="L209" s="3" t="n">
        <f aca="false">J209-K209</f>
        <v>1031864</v>
      </c>
    </row>
    <row r="210" customFormat="false" ht="15" hidden="false" customHeight="false" outlineLevel="0" collapsed="false">
      <c r="A210" s="2" t="s">
        <v>49</v>
      </c>
      <c r="B210" s="2" t="s">
        <v>50</v>
      </c>
      <c r="C210" s="2" t="n">
        <v>2025</v>
      </c>
      <c r="D210" s="2" t="n">
        <v>11</v>
      </c>
      <c r="E210" s="2" t="s">
        <v>60</v>
      </c>
      <c r="F210" s="3" t="n">
        <v>2146</v>
      </c>
      <c r="G210" s="3" t="n">
        <v>176</v>
      </c>
      <c r="H210" s="3" t="n">
        <v>4810</v>
      </c>
      <c r="I210" s="3" t="n">
        <v>503</v>
      </c>
      <c r="J210" s="3" t="n">
        <v>3534230</v>
      </c>
      <c r="K210" s="3" t="n">
        <v>401633</v>
      </c>
      <c r="L210" s="3" t="n">
        <f aca="false">J210-K210</f>
        <v>3132597</v>
      </c>
    </row>
    <row r="211" customFormat="false" ht="15" hidden="false" customHeight="false" outlineLevel="0" collapsed="false">
      <c r="A211" s="2" t="s">
        <v>12</v>
      </c>
      <c r="B211" s="2" t="s">
        <v>13</v>
      </c>
      <c r="C211" s="2" t="n">
        <v>2025</v>
      </c>
      <c r="D211" s="2" t="n">
        <v>12</v>
      </c>
      <c r="E211" s="2" t="s">
        <v>61</v>
      </c>
      <c r="F211" s="3" t="n">
        <v>169314</v>
      </c>
      <c r="G211" s="3" t="n">
        <v>34246</v>
      </c>
      <c r="H211" s="3" t="n">
        <v>260647</v>
      </c>
      <c r="I211" s="3" t="n">
        <v>54312</v>
      </c>
      <c r="J211" s="3" t="n">
        <v>221868090</v>
      </c>
      <c r="K211" s="3" t="n">
        <v>39365288</v>
      </c>
      <c r="L211" s="3" t="n">
        <f aca="false">J211-K211</f>
        <v>182502802</v>
      </c>
    </row>
    <row r="212" customFormat="false" ht="15" hidden="false" customHeight="false" outlineLevel="0" collapsed="false">
      <c r="A212" s="2" t="s">
        <v>15</v>
      </c>
      <c r="B212" s="2" t="s">
        <v>16</v>
      </c>
      <c r="C212" s="2" t="n">
        <v>2025</v>
      </c>
      <c r="D212" s="2" t="n">
        <v>12</v>
      </c>
      <c r="E212" s="2" t="s">
        <v>61</v>
      </c>
      <c r="F212" s="3" t="n">
        <v>1680</v>
      </c>
      <c r="G212" s="3" t="n">
        <v>239</v>
      </c>
      <c r="H212" s="3" t="n">
        <v>3481</v>
      </c>
      <c r="I212" s="3" t="n">
        <v>418</v>
      </c>
      <c r="J212" s="3" t="n">
        <v>2030239</v>
      </c>
      <c r="K212" s="3" t="n">
        <v>362487</v>
      </c>
      <c r="L212" s="3" t="n">
        <f aca="false">J212-K212</f>
        <v>1667752</v>
      </c>
    </row>
    <row r="213" customFormat="false" ht="15" hidden="false" customHeight="false" outlineLevel="0" collapsed="false">
      <c r="A213" s="2" t="s">
        <v>17</v>
      </c>
      <c r="B213" s="2" t="s">
        <v>18</v>
      </c>
      <c r="C213" s="2" t="n">
        <v>2025</v>
      </c>
      <c r="D213" s="2" t="n">
        <v>12</v>
      </c>
      <c r="E213" s="2" t="s">
        <v>61</v>
      </c>
      <c r="F213" s="3" t="n">
        <v>1034</v>
      </c>
      <c r="G213" s="3" t="n">
        <v>133</v>
      </c>
      <c r="H213" s="3" t="n">
        <v>2124</v>
      </c>
      <c r="I213" s="3" t="n">
        <v>2816</v>
      </c>
      <c r="J213" s="3" t="n">
        <v>1863308</v>
      </c>
      <c r="K213" s="3" t="n">
        <v>260074</v>
      </c>
      <c r="L213" s="3" t="n">
        <f aca="false">J213-K213</f>
        <v>1603234</v>
      </c>
    </row>
    <row r="214" customFormat="false" ht="15" hidden="false" customHeight="false" outlineLevel="0" collapsed="false">
      <c r="A214" s="2" t="s">
        <v>19</v>
      </c>
      <c r="B214" s="2" t="s">
        <v>20</v>
      </c>
      <c r="C214" s="2" t="n">
        <v>2025</v>
      </c>
      <c r="D214" s="2" t="n">
        <v>12</v>
      </c>
      <c r="E214" s="2" t="s">
        <v>61</v>
      </c>
      <c r="F214" s="3" t="n">
        <v>287</v>
      </c>
      <c r="G214" s="3" t="n">
        <v>204</v>
      </c>
      <c r="H214" s="3" t="n">
        <v>878</v>
      </c>
      <c r="I214" s="3" t="n">
        <v>204</v>
      </c>
      <c r="J214" s="3" t="n">
        <v>645977</v>
      </c>
      <c r="K214" s="3" t="n">
        <v>60630</v>
      </c>
      <c r="L214" s="3" t="n">
        <f aca="false">J214-K214</f>
        <v>585347</v>
      </c>
    </row>
    <row r="215" customFormat="false" ht="15" hidden="false" customHeight="false" outlineLevel="0" collapsed="false">
      <c r="A215" s="2" t="s">
        <v>21</v>
      </c>
      <c r="B215" s="2" t="s">
        <v>22</v>
      </c>
      <c r="C215" s="2" t="n">
        <v>2025</v>
      </c>
      <c r="D215" s="2" t="n">
        <v>12</v>
      </c>
      <c r="E215" s="2" t="s">
        <v>61</v>
      </c>
      <c r="F215" s="3" t="n">
        <v>1743</v>
      </c>
      <c r="G215" s="3" t="n">
        <v>137</v>
      </c>
      <c r="H215" s="3" t="n">
        <v>2086</v>
      </c>
      <c r="I215" s="3" t="n">
        <v>164</v>
      </c>
      <c r="J215" s="3" t="n">
        <v>1733848</v>
      </c>
      <c r="K215" s="3" t="n">
        <v>255544</v>
      </c>
      <c r="L215" s="3" t="n">
        <f aca="false">J215-K215</f>
        <v>1478304</v>
      </c>
    </row>
    <row r="216" customFormat="false" ht="15" hidden="false" customHeight="false" outlineLevel="0" collapsed="false">
      <c r="A216" s="2" t="s">
        <v>23</v>
      </c>
      <c r="B216" s="2" t="s">
        <v>24</v>
      </c>
      <c r="C216" s="2" t="n">
        <v>2025</v>
      </c>
      <c r="D216" s="2" t="n">
        <v>12</v>
      </c>
      <c r="E216" s="2" t="s">
        <v>61</v>
      </c>
      <c r="F216" s="3" t="n">
        <v>152062</v>
      </c>
      <c r="G216" s="3" t="n">
        <v>31808</v>
      </c>
      <c r="H216" s="3" t="n">
        <v>223914</v>
      </c>
      <c r="I216" s="3" t="n">
        <v>47668</v>
      </c>
      <c r="J216" s="3" t="n">
        <v>195104829</v>
      </c>
      <c r="K216" s="3" t="n">
        <v>35793772</v>
      </c>
      <c r="L216" s="3" t="n">
        <f aca="false">J216-K216</f>
        <v>159311057</v>
      </c>
    </row>
    <row r="217" customFormat="false" ht="15" hidden="false" customHeight="false" outlineLevel="0" collapsed="false">
      <c r="A217" s="2" t="s">
        <v>25</v>
      </c>
      <c r="B217" s="2" t="s">
        <v>26</v>
      </c>
      <c r="C217" s="2" t="n">
        <v>2025</v>
      </c>
      <c r="D217" s="2" t="n">
        <v>12</v>
      </c>
      <c r="E217" s="2" t="s">
        <v>61</v>
      </c>
      <c r="F217" s="3" t="n">
        <v>109</v>
      </c>
      <c r="G217" s="3" t="n">
        <v>33</v>
      </c>
      <c r="H217" s="3" t="n">
        <v>197</v>
      </c>
      <c r="I217" s="3" t="n">
        <v>35</v>
      </c>
      <c r="J217" s="3" t="n">
        <v>228963</v>
      </c>
      <c r="K217" s="3" t="n">
        <v>12096</v>
      </c>
      <c r="L217" s="3" t="n">
        <f aca="false">J217-K217</f>
        <v>216867</v>
      </c>
    </row>
    <row r="218" customFormat="false" ht="15" hidden="false" customHeight="false" outlineLevel="0" collapsed="false">
      <c r="A218" s="2" t="s">
        <v>27</v>
      </c>
      <c r="B218" s="2" t="s">
        <v>28</v>
      </c>
      <c r="C218" s="2" t="n">
        <v>2025</v>
      </c>
      <c r="D218" s="2" t="n">
        <v>12</v>
      </c>
      <c r="E218" s="2" t="s">
        <v>61</v>
      </c>
      <c r="F218" s="3" t="n">
        <v>581</v>
      </c>
      <c r="G218" s="3" t="n">
        <v>86</v>
      </c>
      <c r="H218" s="3" t="n">
        <v>1247</v>
      </c>
      <c r="I218" s="3" t="n">
        <v>139</v>
      </c>
      <c r="J218" s="3" t="n">
        <v>779447</v>
      </c>
      <c r="K218" s="3" t="n">
        <v>102030</v>
      </c>
      <c r="L218" s="3" t="n">
        <f aca="false">J218-K218</f>
        <v>677417</v>
      </c>
    </row>
    <row r="219" customFormat="false" ht="15" hidden="false" customHeight="false" outlineLevel="0" collapsed="false">
      <c r="A219" s="2" t="s">
        <v>29</v>
      </c>
      <c r="B219" s="2" t="s">
        <v>30</v>
      </c>
      <c r="C219" s="2" t="n">
        <v>2025</v>
      </c>
      <c r="D219" s="2" t="n">
        <v>12</v>
      </c>
      <c r="E219" s="2" t="s">
        <v>61</v>
      </c>
      <c r="F219" s="3" t="n">
        <v>646</v>
      </c>
      <c r="G219" s="3" t="n">
        <v>203</v>
      </c>
      <c r="H219" s="3" t="n">
        <v>2052</v>
      </c>
      <c r="I219" s="3" t="n">
        <v>222</v>
      </c>
      <c r="J219" s="3" t="n">
        <v>1538912</v>
      </c>
      <c r="K219" s="3" t="n">
        <v>230643</v>
      </c>
      <c r="L219" s="3" t="n">
        <f aca="false">J219-K219</f>
        <v>1308269</v>
      </c>
    </row>
    <row r="220" customFormat="false" ht="15" hidden="false" customHeight="false" outlineLevel="0" collapsed="false">
      <c r="A220" s="2" t="s">
        <v>31</v>
      </c>
      <c r="B220" s="2" t="s">
        <v>32</v>
      </c>
      <c r="C220" s="2" t="n">
        <v>2025</v>
      </c>
      <c r="D220" s="2" t="n">
        <v>12</v>
      </c>
      <c r="E220" s="2" t="s">
        <v>61</v>
      </c>
      <c r="F220" s="3" t="n">
        <v>734</v>
      </c>
      <c r="G220" s="3" t="n">
        <v>132</v>
      </c>
      <c r="H220" s="3" t="n">
        <v>2498</v>
      </c>
      <c r="I220" s="3" t="n">
        <v>192</v>
      </c>
      <c r="J220" s="3" t="n">
        <v>1688462</v>
      </c>
      <c r="K220" s="3" t="n">
        <v>247402</v>
      </c>
      <c r="L220" s="3" t="n">
        <f aca="false">J220-K220</f>
        <v>1441060</v>
      </c>
    </row>
    <row r="221" customFormat="false" ht="15" hidden="false" customHeight="false" outlineLevel="0" collapsed="false">
      <c r="A221" s="2" t="s">
        <v>33</v>
      </c>
      <c r="B221" s="2" t="s">
        <v>34</v>
      </c>
      <c r="C221" s="2" t="n">
        <v>2025</v>
      </c>
      <c r="D221" s="2" t="n">
        <v>12</v>
      </c>
      <c r="E221" s="2" t="s">
        <v>61</v>
      </c>
      <c r="F221" s="3" t="n">
        <v>2513</v>
      </c>
      <c r="G221" s="3" t="n">
        <v>403</v>
      </c>
      <c r="H221" s="3" t="n">
        <v>4228</v>
      </c>
      <c r="I221" s="3" t="n">
        <v>580</v>
      </c>
      <c r="J221" s="3" t="n">
        <v>2818145</v>
      </c>
      <c r="K221" s="3" t="n">
        <v>153672</v>
      </c>
      <c r="L221" s="3" t="n">
        <f aca="false">J221-K221</f>
        <v>2664473</v>
      </c>
    </row>
    <row r="222" customFormat="false" ht="15" hidden="false" customHeight="false" outlineLevel="0" collapsed="false">
      <c r="A222" s="2" t="s">
        <v>35</v>
      </c>
      <c r="B222" s="2" t="s">
        <v>36</v>
      </c>
      <c r="C222" s="2" t="n">
        <v>2025</v>
      </c>
      <c r="D222" s="2" t="n">
        <v>12</v>
      </c>
      <c r="E222" s="2" t="s">
        <v>61</v>
      </c>
      <c r="F222" s="3" t="n">
        <v>679</v>
      </c>
      <c r="G222" s="3" t="n">
        <v>80</v>
      </c>
      <c r="H222" s="3" t="n">
        <v>1550</v>
      </c>
      <c r="I222" s="3" t="n">
        <v>179</v>
      </c>
      <c r="J222" s="3" t="n">
        <v>1710362</v>
      </c>
      <c r="K222" s="3" t="n">
        <v>142808</v>
      </c>
      <c r="L222" s="3" t="n">
        <f aca="false">J222-K222</f>
        <v>1567554</v>
      </c>
    </row>
    <row r="223" customFormat="false" ht="15" hidden="false" customHeight="false" outlineLevel="0" collapsed="false">
      <c r="A223" s="2" t="s">
        <v>37</v>
      </c>
      <c r="B223" s="2" t="s">
        <v>38</v>
      </c>
      <c r="C223" s="2" t="n">
        <v>2025</v>
      </c>
      <c r="D223" s="2" t="n">
        <v>12</v>
      </c>
      <c r="E223" s="2" t="s">
        <v>61</v>
      </c>
      <c r="F223" s="3" t="n">
        <v>612</v>
      </c>
      <c r="G223" s="3" t="n">
        <v>72</v>
      </c>
      <c r="H223" s="3" t="n">
        <v>1336</v>
      </c>
      <c r="I223" s="3" t="n">
        <v>210</v>
      </c>
      <c r="J223" s="3" t="n">
        <v>873528</v>
      </c>
      <c r="K223" s="3" t="n">
        <v>107491</v>
      </c>
      <c r="L223" s="3" t="n">
        <f aca="false">J223-K223</f>
        <v>766037</v>
      </c>
    </row>
    <row r="224" customFormat="false" ht="15" hidden="false" customHeight="false" outlineLevel="0" collapsed="false">
      <c r="A224" s="2" t="s">
        <v>39</v>
      </c>
      <c r="B224" s="2" t="s">
        <v>40</v>
      </c>
      <c r="C224" s="2" t="n">
        <v>2025</v>
      </c>
      <c r="D224" s="2" t="n">
        <v>12</v>
      </c>
      <c r="E224" s="2" t="s">
        <v>61</v>
      </c>
      <c r="F224" s="3" t="n">
        <v>689</v>
      </c>
      <c r="G224" s="3" t="n">
        <v>82</v>
      </c>
      <c r="H224" s="3" t="n">
        <v>1931</v>
      </c>
      <c r="I224" s="3" t="n">
        <v>171</v>
      </c>
      <c r="J224" s="3" t="n">
        <v>1085177</v>
      </c>
      <c r="K224" s="3" t="n">
        <v>143350</v>
      </c>
      <c r="L224" s="3" t="n">
        <f aca="false">J224-K224</f>
        <v>941827</v>
      </c>
    </row>
    <row r="225" customFormat="false" ht="15" hidden="false" customHeight="false" outlineLevel="0" collapsed="false">
      <c r="A225" s="2" t="s">
        <v>41</v>
      </c>
      <c r="B225" s="2" t="s">
        <v>42</v>
      </c>
      <c r="C225" s="2" t="n">
        <v>2025</v>
      </c>
      <c r="D225" s="2" t="n">
        <v>12</v>
      </c>
      <c r="E225" s="2" t="s">
        <v>61</v>
      </c>
      <c r="F225" s="3" t="n">
        <v>564</v>
      </c>
      <c r="G225" s="3" t="n">
        <v>79</v>
      </c>
      <c r="H225" s="3" t="n">
        <v>1171</v>
      </c>
      <c r="I225" s="3" t="n">
        <v>160</v>
      </c>
      <c r="J225" s="3" t="n">
        <v>1180501</v>
      </c>
      <c r="K225" s="3" t="n">
        <v>119880</v>
      </c>
      <c r="L225" s="3" t="n">
        <f aca="false">J225-K225</f>
        <v>1060621</v>
      </c>
    </row>
    <row r="226" customFormat="false" ht="15" hidden="false" customHeight="false" outlineLevel="0" collapsed="false">
      <c r="A226" s="2" t="s">
        <v>43</v>
      </c>
      <c r="B226" s="2" t="s">
        <v>44</v>
      </c>
      <c r="C226" s="2" t="n">
        <v>2025</v>
      </c>
      <c r="D226" s="2" t="n">
        <v>12</v>
      </c>
      <c r="E226" s="2" t="s">
        <v>61</v>
      </c>
      <c r="F226" s="3" t="n">
        <v>2059</v>
      </c>
      <c r="G226" s="3" t="n">
        <v>222</v>
      </c>
      <c r="H226" s="3" t="n">
        <v>4643</v>
      </c>
      <c r="I226" s="3" t="n">
        <v>371</v>
      </c>
      <c r="J226" s="3" t="n">
        <v>2399948</v>
      </c>
      <c r="K226" s="3" t="n">
        <v>703389</v>
      </c>
      <c r="L226" s="3" t="n">
        <f aca="false">J226-K226</f>
        <v>1696559</v>
      </c>
    </row>
    <row r="227" customFormat="false" ht="15" hidden="false" customHeight="false" outlineLevel="0" collapsed="false">
      <c r="A227" s="2" t="s">
        <v>45</v>
      </c>
      <c r="B227" s="2" t="s">
        <v>46</v>
      </c>
      <c r="C227" s="2" t="n">
        <v>2025</v>
      </c>
      <c r="D227" s="2" t="n">
        <v>12</v>
      </c>
      <c r="E227" s="2" t="s">
        <v>61</v>
      </c>
      <c r="F227" s="3" t="n">
        <v>643</v>
      </c>
      <c r="G227" s="3" t="n">
        <v>107</v>
      </c>
      <c r="H227" s="3" t="n">
        <v>1763</v>
      </c>
      <c r="I227" s="3" t="n">
        <v>166</v>
      </c>
      <c r="J227" s="3" t="n">
        <v>1953284</v>
      </c>
      <c r="K227" s="3" t="n">
        <v>198903</v>
      </c>
      <c r="L227" s="3" t="n">
        <f aca="false">J227-K227</f>
        <v>1754381</v>
      </c>
    </row>
    <row r="228" customFormat="false" ht="15" hidden="false" customHeight="false" outlineLevel="0" collapsed="false">
      <c r="A228" s="2" t="s">
        <v>47</v>
      </c>
      <c r="B228" s="2" t="s">
        <v>48</v>
      </c>
      <c r="C228" s="2" t="n">
        <v>2025</v>
      </c>
      <c r="D228" s="2" t="n">
        <v>12</v>
      </c>
      <c r="E228" s="2" t="s">
        <v>61</v>
      </c>
      <c r="F228" s="3" t="n">
        <v>833</v>
      </c>
      <c r="G228" s="3" t="n">
        <v>72</v>
      </c>
      <c r="H228" s="3" t="n">
        <v>1274</v>
      </c>
      <c r="I228" s="3" t="n">
        <v>160</v>
      </c>
      <c r="J228" s="3" t="n">
        <v>1094005</v>
      </c>
      <c r="K228" s="3" t="n">
        <v>117735</v>
      </c>
      <c r="L228" s="3" t="n">
        <f aca="false">J228-K228</f>
        <v>976270</v>
      </c>
    </row>
    <row r="229" customFormat="false" ht="15" hidden="false" customHeight="false" outlineLevel="0" collapsed="false">
      <c r="A229" s="2" t="s">
        <v>49</v>
      </c>
      <c r="B229" s="2" t="s">
        <v>50</v>
      </c>
      <c r="C229" s="2" t="n">
        <v>2025</v>
      </c>
      <c r="D229" s="2" t="n">
        <v>12</v>
      </c>
      <c r="E229" s="2" t="s">
        <v>61</v>
      </c>
      <c r="F229" s="3" t="n">
        <v>1846</v>
      </c>
      <c r="G229" s="3" t="n">
        <v>154</v>
      </c>
      <c r="H229" s="3" t="n">
        <v>4274</v>
      </c>
      <c r="I229" s="3" t="n">
        <v>457</v>
      </c>
      <c r="J229" s="3" t="n">
        <v>3139155</v>
      </c>
      <c r="K229" s="3" t="n">
        <v>353382</v>
      </c>
      <c r="L229" s="3" t="n">
        <f aca="false">J229-K229</f>
        <v>2785773</v>
      </c>
    </row>
    <row r="231" customFormat="false" ht="15" hidden="false" customHeight="false" outlineLevel="0" collapsed="false">
      <c r="A231" s="4" t="s">
        <v>62</v>
      </c>
    </row>
  </sheetData>
  <autoFilter ref="A1:L2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5"/>
    <col collapsed="false" customWidth="true" hidden="false" outlineLevel="0" max="5" min="4" style="0" width="17"/>
    <col collapsed="false" customWidth="true" hidden="false" outlineLevel="0" max="6" min="6" style="0" width="19"/>
    <col collapsed="false" customWidth="true" hidden="false" outlineLevel="0" max="7" min="7" style="0" width="16"/>
    <col collapsed="false" customWidth="true" hidden="false" outlineLevel="0" max="8" min="8" style="0" width="15"/>
    <col collapsed="false" customWidth="true" hidden="false" outlineLevel="0" max="9" min="9" style="0" width="16"/>
  </cols>
  <sheetData>
    <row r="1" customFormat="false" ht="15" hidden="false" customHeight="false" outlineLevel="0" collapsed="false">
      <c r="A1" s="1" t="s">
        <v>0</v>
      </c>
      <c r="B1" s="1" t="s">
        <v>1</v>
      </c>
      <c r="C1" s="1" t="s">
        <v>5</v>
      </c>
      <c r="D1" s="1" t="s">
        <v>6</v>
      </c>
      <c r="E1" s="1" t="s">
        <v>7</v>
      </c>
      <c r="F1" s="1" t="s">
        <v>8</v>
      </c>
      <c r="G1" s="1" t="s">
        <v>9</v>
      </c>
      <c r="H1" s="1" t="s">
        <v>10</v>
      </c>
      <c r="I1" s="1" t="s">
        <v>11</v>
      </c>
    </row>
    <row r="2" customFormat="false" ht="15" hidden="false" customHeight="false" outlineLevel="0" collapsed="false">
      <c r="A2" s="5" t="s">
        <v>15</v>
      </c>
      <c r="B2" s="5" t="s">
        <v>16</v>
      </c>
      <c r="C2" s="3" t="n">
        <f aca="false">SUMIFS('Monthly Data'!F2:F229,'Monthly Data'!$A$2:$A$229,$A2)</f>
        <v>17356</v>
      </c>
      <c r="D2" s="3" t="n">
        <f aca="false">SUMIFS('Monthly Data'!G2:G229,'Monthly Data'!$A$2:$A$229,$A2)</f>
        <v>2658</v>
      </c>
      <c r="E2" s="3" t="n">
        <f aca="false">SUMIFS('Monthly Data'!H2:H229,'Monthly Data'!$A$2:$A$229,$A2)</f>
        <v>36525</v>
      </c>
      <c r="F2" s="3" t="n">
        <f aca="false">SUMIFS('Monthly Data'!I2:I229,'Monthly Data'!$A$2:$A$229,$A2)</f>
        <v>4520</v>
      </c>
      <c r="G2" s="3" t="n">
        <f aca="false">SUMIFS('Monthly Data'!J2:J229,'Monthly Data'!$A$2:$A$229,$A2)</f>
        <v>20528559</v>
      </c>
      <c r="H2" s="3" t="n">
        <f aca="false">SUMIFS('Monthly Data'!K2:K229,'Monthly Data'!$A$2:$A$229,$A2)</f>
        <v>4151397</v>
      </c>
      <c r="I2" s="3" t="n">
        <f aca="false">SUMIFS('Monthly Data'!L2:L229,'Monthly Data'!$A$2:$A$229,$A2)</f>
        <v>16377162</v>
      </c>
    </row>
    <row r="3" customFormat="false" ht="15" hidden="false" customHeight="false" outlineLevel="0" collapsed="false">
      <c r="A3" s="5" t="s">
        <v>17</v>
      </c>
      <c r="B3" s="5" t="s">
        <v>18</v>
      </c>
      <c r="C3" s="3" t="n">
        <f aca="false">SUMIFS('Monthly Data'!F2:F229,'Monthly Data'!$A$2:$A$229,$A3)</f>
        <v>12259</v>
      </c>
      <c r="D3" s="3" t="n">
        <f aca="false">SUMIFS('Monthly Data'!G2:G229,'Monthly Data'!$A$2:$A$229,$A3)</f>
        <v>1505</v>
      </c>
      <c r="E3" s="3" t="n">
        <f aca="false">SUMIFS('Monthly Data'!H2:H229,'Monthly Data'!$A$2:$A$229,$A3)</f>
        <v>24523</v>
      </c>
      <c r="F3" s="3" t="n">
        <f aca="false">SUMIFS('Monthly Data'!I2:I229,'Monthly Data'!$A$2:$A$229,$A3)</f>
        <v>32252</v>
      </c>
      <c r="G3" s="3" t="n">
        <f aca="false">SUMIFS('Monthly Data'!J2:J229,'Monthly Data'!$A$2:$A$229,$A3)</f>
        <v>22094994</v>
      </c>
      <c r="H3" s="3" t="n">
        <f aca="false">SUMIFS('Monthly Data'!K2:K229,'Monthly Data'!$A$2:$A$229,$A3)</f>
        <v>2990365</v>
      </c>
      <c r="I3" s="3" t="n">
        <f aca="false">SUMIFS('Monthly Data'!L2:L229,'Monthly Data'!$A$2:$A$229,$A3)</f>
        <v>19104629</v>
      </c>
    </row>
    <row r="4" customFormat="false" ht="15" hidden="false" customHeight="false" outlineLevel="0" collapsed="false">
      <c r="A4" s="5" t="s">
        <v>19</v>
      </c>
      <c r="B4" s="5" t="s">
        <v>20</v>
      </c>
      <c r="C4" s="3" t="n">
        <f aca="false">SUMIFS('Monthly Data'!F2:F229,'Monthly Data'!$A$2:$A$229,$A4)</f>
        <v>3275</v>
      </c>
      <c r="D4" s="3" t="n">
        <f aca="false">SUMIFS('Monthly Data'!G2:G229,'Monthly Data'!$A$2:$A$229,$A4)</f>
        <v>2454</v>
      </c>
      <c r="E4" s="3" t="n">
        <f aca="false">SUMIFS('Monthly Data'!H2:H229,'Monthly Data'!$A$2:$A$229,$A4)</f>
        <v>9902</v>
      </c>
      <c r="F4" s="3" t="n">
        <f aca="false">SUMIFS('Monthly Data'!I2:I229,'Monthly Data'!$A$2:$A$229,$A4)</f>
        <v>2454</v>
      </c>
      <c r="G4" s="3" t="n">
        <f aca="false">SUMIFS('Monthly Data'!J2:J229,'Monthly Data'!$A$2:$A$229,$A4)</f>
        <v>7288572</v>
      </c>
      <c r="H4" s="3" t="n">
        <f aca="false">SUMIFS('Monthly Data'!K2:K229,'Monthly Data'!$A$2:$A$229,$A4)</f>
        <v>747055</v>
      </c>
      <c r="I4" s="3" t="n">
        <f aca="false">SUMIFS('Monthly Data'!L2:L229,'Monthly Data'!$A$2:$A$229,$A4)</f>
        <v>6541517</v>
      </c>
    </row>
    <row r="5" customFormat="false" ht="15" hidden="false" customHeight="false" outlineLevel="0" collapsed="false">
      <c r="A5" s="5" t="s">
        <v>21</v>
      </c>
      <c r="B5" s="5" t="s">
        <v>22</v>
      </c>
      <c r="C5" s="3" t="n">
        <f aca="false">SUMIFS('Monthly Data'!F2:F229,'Monthly Data'!$A$2:$A$229,$A5)</f>
        <v>19792</v>
      </c>
      <c r="D5" s="3" t="n">
        <f aca="false">SUMIFS('Monthly Data'!G2:G229,'Monthly Data'!$A$2:$A$229,$A5)</f>
        <v>1643</v>
      </c>
      <c r="E5" s="3" t="n">
        <f aca="false">SUMIFS('Monthly Data'!H2:H229,'Monthly Data'!$A$2:$A$229,$A5)</f>
        <v>23910</v>
      </c>
      <c r="F5" s="3" t="n">
        <f aca="false">SUMIFS('Monthly Data'!I2:I229,'Monthly Data'!$A$2:$A$229,$A5)</f>
        <v>2037</v>
      </c>
      <c r="G5" s="3" t="n">
        <f aca="false">SUMIFS('Monthly Data'!J2:J229,'Monthly Data'!$A$2:$A$229,$A5)</f>
        <v>19728725</v>
      </c>
      <c r="H5" s="3" t="n">
        <f aca="false">SUMIFS('Monthly Data'!K2:K229,'Monthly Data'!$A$2:$A$229,$A5)</f>
        <v>3053838</v>
      </c>
      <c r="I5" s="3" t="n">
        <f aca="false">SUMIFS('Monthly Data'!L2:L229,'Monthly Data'!$A$2:$A$229,$A5)</f>
        <v>16674887</v>
      </c>
    </row>
    <row r="6" customFormat="false" ht="15" hidden="false" customHeight="false" outlineLevel="0" collapsed="false">
      <c r="A6" s="5" t="s">
        <v>23</v>
      </c>
      <c r="B6" s="5" t="s">
        <v>24</v>
      </c>
      <c r="C6" s="3" t="n">
        <f aca="false">SUMIFS('Monthly Data'!F2:F229,'Monthly Data'!$A$2:$A$229,$A6)</f>
        <v>1774309</v>
      </c>
      <c r="D6" s="3" t="n">
        <f aca="false">SUMIFS('Monthly Data'!G2:G229,'Monthly Data'!$A$2:$A$229,$A6)</f>
        <v>392355</v>
      </c>
      <c r="E6" s="3" t="n">
        <f aca="false">SUMIFS('Monthly Data'!H2:H229,'Monthly Data'!$A$2:$A$229,$A6)</f>
        <v>2676517</v>
      </c>
      <c r="F6" s="3" t="n">
        <f aca="false">SUMIFS('Monthly Data'!I2:I229,'Monthly Data'!$A$2:$A$229,$A6)</f>
        <v>584651</v>
      </c>
      <c r="G6" s="3" t="n">
        <f aca="false">SUMIFS('Monthly Data'!J2:J229,'Monthly Data'!$A$2:$A$229,$A6)</f>
        <v>2188913944</v>
      </c>
      <c r="H6" s="3" t="n">
        <f aca="false">SUMIFS('Monthly Data'!K2:K229,'Monthly Data'!$A$2:$A$229,$A6)</f>
        <v>437299514</v>
      </c>
      <c r="I6" s="3" t="n">
        <f aca="false">SUMIFS('Monthly Data'!L2:L229,'Monthly Data'!$A$2:$A$229,$A6)</f>
        <v>1751614430</v>
      </c>
    </row>
    <row r="7" customFormat="false" ht="15" hidden="false" customHeight="false" outlineLevel="0" collapsed="false">
      <c r="A7" s="5" t="s">
        <v>25</v>
      </c>
      <c r="B7" s="5" t="s">
        <v>26</v>
      </c>
      <c r="C7" s="3" t="n">
        <f aca="false">SUMIFS('Monthly Data'!F2:F229,'Monthly Data'!$A$2:$A$229,$A7)</f>
        <v>1297</v>
      </c>
      <c r="D7" s="3" t="n">
        <f aca="false">SUMIFS('Monthly Data'!G2:G229,'Monthly Data'!$A$2:$A$229,$A7)</f>
        <v>334</v>
      </c>
      <c r="E7" s="3" t="n">
        <f aca="false">SUMIFS('Monthly Data'!H2:H229,'Monthly Data'!$A$2:$A$229,$A7)</f>
        <v>2370</v>
      </c>
      <c r="F7" s="3" t="n">
        <f aca="false">SUMIFS('Monthly Data'!I2:I229,'Monthly Data'!$A$2:$A$229,$A7)</f>
        <v>364</v>
      </c>
      <c r="G7" s="3" t="n">
        <f aca="false">SUMIFS('Monthly Data'!J2:J229,'Monthly Data'!$A$2:$A$229,$A7)</f>
        <v>2795207</v>
      </c>
      <c r="H7" s="3" t="n">
        <f aca="false">SUMIFS('Monthly Data'!K2:K229,'Monthly Data'!$A$2:$A$229,$A7)</f>
        <v>121134</v>
      </c>
      <c r="I7" s="3" t="n">
        <f aca="false">SUMIFS('Monthly Data'!L2:L229,'Monthly Data'!$A$2:$A$229,$A7)</f>
        <v>2674073</v>
      </c>
    </row>
    <row r="8" customFormat="false" ht="15" hidden="false" customHeight="false" outlineLevel="0" collapsed="false">
      <c r="A8" s="5" t="s">
        <v>27</v>
      </c>
      <c r="B8" s="5" t="s">
        <v>28</v>
      </c>
      <c r="C8" s="3" t="n">
        <f aca="false">SUMIFS('Monthly Data'!F2:F229,'Monthly Data'!$A$2:$A$229,$A8)</f>
        <v>6513</v>
      </c>
      <c r="D8" s="3" t="n">
        <f aca="false">SUMIFS('Monthly Data'!G2:G229,'Monthly Data'!$A$2:$A$229,$A8)</f>
        <v>979</v>
      </c>
      <c r="E8" s="3" t="n">
        <f aca="false">SUMIFS('Monthly Data'!H2:H229,'Monthly Data'!$A$2:$A$229,$A8)</f>
        <v>13731</v>
      </c>
      <c r="F8" s="3" t="n">
        <f aca="false">SUMIFS('Monthly Data'!I2:I229,'Monthly Data'!$A$2:$A$229,$A8)</f>
        <v>1583</v>
      </c>
      <c r="G8" s="3" t="n">
        <f aca="false">SUMIFS('Monthly Data'!J2:J229,'Monthly Data'!$A$2:$A$229,$A8)</f>
        <v>8840314</v>
      </c>
      <c r="H8" s="3" t="n">
        <f aca="false">SUMIFS('Monthly Data'!K2:K229,'Monthly Data'!$A$2:$A$229,$A8)</f>
        <v>1146980</v>
      </c>
      <c r="I8" s="3" t="n">
        <f aca="false">SUMIFS('Monthly Data'!L2:L229,'Monthly Data'!$A$2:$A$229,$A8)</f>
        <v>7693334</v>
      </c>
    </row>
    <row r="9" customFormat="false" ht="15" hidden="false" customHeight="false" outlineLevel="0" collapsed="false">
      <c r="A9" s="5" t="s">
        <v>29</v>
      </c>
      <c r="B9" s="5" t="s">
        <v>30</v>
      </c>
      <c r="C9" s="3" t="n">
        <f aca="false">SUMIFS('Monthly Data'!F2:F229,'Monthly Data'!$A$2:$A$229,$A9)</f>
        <v>7884</v>
      </c>
      <c r="D9" s="3" t="n">
        <f aca="false">SUMIFS('Monthly Data'!G2:G229,'Monthly Data'!$A$2:$A$229,$A9)</f>
        <v>2415</v>
      </c>
      <c r="E9" s="3" t="n">
        <f aca="false">SUMIFS('Monthly Data'!H2:H229,'Monthly Data'!$A$2:$A$229,$A9)</f>
        <v>25333</v>
      </c>
      <c r="F9" s="3" t="n">
        <f aca="false">SUMIFS('Monthly Data'!I2:I229,'Monthly Data'!$A$2:$A$229,$A9)</f>
        <v>2617</v>
      </c>
      <c r="G9" s="3" t="n">
        <f aca="false">SUMIFS('Monthly Data'!J2:J229,'Monthly Data'!$A$2:$A$229,$A9)</f>
        <v>18267437</v>
      </c>
      <c r="H9" s="3" t="n">
        <f aca="false">SUMIFS('Monthly Data'!K2:K229,'Monthly Data'!$A$2:$A$229,$A9)</f>
        <v>2675608</v>
      </c>
      <c r="I9" s="3" t="n">
        <f aca="false">SUMIFS('Monthly Data'!L2:L229,'Monthly Data'!$A$2:$A$229,$A9)</f>
        <v>15591829</v>
      </c>
    </row>
    <row r="10" customFormat="false" ht="15" hidden="false" customHeight="false" outlineLevel="0" collapsed="false">
      <c r="A10" s="5" t="s">
        <v>31</v>
      </c>
      <c r="B10" s="5" t="s">
        <v>32</v>
      </c>
      <c r="C10" s="3" t="n">
        <f aca="false">SUMIFS('Monthly Data'!F2:F229,'Monthly Data'!$A$2:$A$229,$A10)</f>
        <v>8550</v>
      </c>
      <c r="D10" s="3" t="n">
        <f aca="false">SUMIFS('Monthly Data'!G2:G229,'Monthly Data'!$A$2:$A$229,$A10)</f>
        <v>1578</v>
      </c>
      <c r="E10" s="3" t="n">
        <f aca="false">SUMIFS('Monthly Data'!H2:H229,'Monthly Data'!$A$2:$A$229,$A10)</f>
        <v>29390</v>
      </c>
      <c r="F10" s="3" t="n">
        <f aca="false">SUMIFS('Monthly Data'!I2:I229,'Monthly Data'!$A$2:$A$229,$A10)</f>
        <v>2222</v>
      </c>
      <c r="G10" s="3" t="n">
        <f aca="false">SUMIFS('Monthly Data'!J2:J229,'Monthly Data'!$A$2:$A$229,$A10)</f>
        <v>19380891</v>
      </c>
      <c r="H10" s="3" t="n">
        <f aca="false">SUMIFS('Monthly Data'!K2:K229,'Monthly Data'!$A$2:$A$229,$A10)</f>
        <v>2932769</v>
      </c>
      <c r="I10" s="3" t="n">
        <f aca="false">SUMIFS('Monthly Data'!L2:L229,'Monthly Data'!$A$2:$A$229,$A10)</f>
        <v>16448122</v>
      </c>
    </row>
    <row r="11" customFormat="false" ht="15" hidden="false" customHeight="false" outlineLevel="0" collapsed="false">
      <c r="A11" s="5" t="s">
        <v>33</v>
      </c>
      <c r="B11" s="5" t="s">
        <v>34</v>
      </c>
      <c r="C11" s="3" t="n">
        <f aca="false">SUMIFS('Monthly Data'!F2:F229,'Monthly Data'!$A$2:$A$229,$A11)</f>
        <v>27568</v>
      </c>
      <c r="D11" s="3" t="n">
        <f aca="false">SUMIFS('Monthly Data'!G2:G229,'Monthly Data'!$A$2:$A$229,$A11)</f>
        <v>3948</v>
      </c>
      <c r="E11" s="3" t="n">
        <f aca="false">SUMIFS('Monthly Data'!H2:H229,'Monthly Data'!$A$2:$A$229,$A11)</f>
        <v>45449</v>
      </c>
      <c r="F11" s="3" t="n">
        <f aca="false">SUMIFS('Monthly Data'!I2:I229,'Monthly Data'!$A$2:$A$229,$A11)</f>
        <v>5530</v>
      </c>
      <c r="G11" s="3" t="n">
        <f aca="false">SUMIFS('Monthly Data'!J2:J229,'Monthly Data'!$A$2:$A$229,$A11)</f>
        <v>31571684</v>
      </c>
      <c r="H11" s="3" t="n">
        <f aca="false">SUMIFS('Monthly Data'!K2:K229,'Monthly Data'!$A$2:$A$229,$A11)</f>
        <v>1494363</v>
      </c>
      <c r="I11" s="3" t="n">
        <f aca="false">SUMIFS('Monthly Data'!L2:L229,'Monthly Data'!$A$2:$A$229,$A11)</f>
        <v>30077321</v>
      </c>
    </row>
    <row r="12" customFormat="false" ht="15" hidden="false" customHeight="false" outlineLevel="0" collapsed="false">
      <c r="A12" s="5" t="s">
        <v>35</v>
      </c>
      <c r="B12" s="5" t="s">
        <v>36</v>
      </c>
      <c r="C12" s="3" t="n">
        <f aca="false">SUMIFS('Monthly Data'!F2:F229,'Monthly Data'!$A$2:$A$229,$A12)</f>
        <v>7157</v>
      </c>
      <c r="D12" s="3" t="n">
        <f aca="false">SUMIFS('Monthly Data'!G2:G229,'Monthly Data'!$A$2:$A$229,$A12)</f>
        <v>896</v>
      </c>
      <c r="E12" s="3" t="n">
        <f aca="false">SUMIFS('Monthly Data'!H2:H229,'Monthly Data'!$A$2:$A$229,$A12)</f>
        <v>16250</v>
      </c>
      <c r="F12" s="3" t="n">
        <f aca="false">SUMIFS('Monthly Data'!I2:I229,'Monthly Data'!$A$2:$A$229,$A12)</f>
        <v>1971</v>
      </c>
      <c r="G12" s="3" t="n">
        <f aca="false">SUMIFS('Monthly Data'!J2:J229,'Monthly Data'!$A$2:$A$229,$A12)</f>
        <v>18457033</v>
      </c>
      <c r="H12" s="3" t="n">
        <f aca="false">SUMIFS('Monthly Data'!K2:K229,'Monthly Data'!$A$2:$A$229,$A12)</f>
        <v>1605772</v>
      </c>
      <c r="I12" s="3" t="n">
        <f aca="false">SUMIFS('Monthly Data'!L2:L229,'Monthly Data'!$A$2:$A$229,$A12)</f>
        <v>16851261</v>
      </c>
    </row>
    <row r="13" customFormat="false" ht="15" hidden="false" customHeight="false" outlineLevel="0" collapsed="false">
      <c r="A13" s="5" t="s">
        <v>37</v>
      </c>
      <c r="B13" s="5" t="s">
        <v>38</v>
      </c>
      <c r="C13" s="3" t="n">
        <f aca="false">SUMIFS('Monthly Data'!F2:F229,'Monthly Data'!$A$2:$A$229,$A13)</f>
        <v>6794</v>
      </c>
      <c r="D13" s="3" t="n">
        <f aca="false">SUMIFS('Monthly Data'!G2:G229,'Monthly Data'!$A$2:$A$229,$A13)</f>
        <v>825</v>
      </c>
      <c r="E13" s="3" t="n">
        <f aca="false">SUMIFS('Monthly Data'!H2:H229,'Monthly Data'!$A$2:$A$229,$A13)</f>
        <v>14550</v>
      </c>
      <c r="F13" s="3" t="n">
        <f aca="false">SUMIFS('Monthly Data'!I2:I229,'Monthly Data'!$A$2:$A$229,$A13)</f>
        <v>2415</v>
      </c>
      <c r="G13" s="3" t="n">
        <f aca="false">SUMIFS('Monthly Data'!J2:J229,'Monthly Data'!$A$2:$A$229,$A13)</f>
        <v>9539777</v>
      </c>
      <c r="H13" s="3" t="n">
        <f aca="false">SUMIFS('Monthly Data'!K2:K229,'Monthly Data'!$A$2:$A$229,$A13)</f>
        <v>1234518</v>
      </c>
      <c r="I13" s="3" t="n">
        <f aca="false">SUMIFS('Monthly Data'!L2:L229,'Monthly Data'!$A$2:$A$229,$A13)</f>
        <v>8305259</v>
      </c>
    </row>
    <row r="14" customFormat="false" ht="15" hidden="false" customHeight="false" outlineLevel="0" collapsed="false">
      <c r="A14" s="5" t="s">
        <v>39</v>
      </c>
      <c r="B14" s="5" t="s">
        <v>40</v>
      </c>
      <c r="C14" s="3" t="n">
        <f aca="false">SUMIFS('Monthly Data'!F2:F229,'Monthly Data'!$A$2:$A$229,$A14)</f>
        <v>7991</v>
      </c>
      <c r="D14" s="3" t="n">
        <f aca="false">SUMIFS('Monthly Data'!G2:G229,'Monthly Data'!$A$2:$A$229,$A14)</f>
        <v>947</v>
      </c>
      <c r="E14" s="3" t="n">
        <f aca="false">SUMIFS('Monthly Data'!H2:H229,'Monthly Data'!$A$2:$A$229,$A14)</f>
        <v>21747</v>
      </c>
      <c r="F14" s="3" t="n">
        <f aca="false">SUMIFS('Monthly Data'!I2:I229,'Monthly Data'!$A$2:$A$229,$A14)</f>
        <v>1966</v>
      </c>
      <c r="G14" s="3" t="n">
        <f aca="false">SUMIFS('Monthly Data'!J2:J229,'Monthly Data'!$A$2:$A$229,$A14)</f>
        <v>12905017</v>
      </c>
      <c r="H14" s="3" t="n">
        <f aca="false">SUMIFS('Monthly Data'!K2:K229,'Monthly Data'!$A$2:$A$229,$A14)</f>
        <v>1682018</v>
      </c>
      <c r="I14" s="3" t="n">
        <f aca="false">SUMIFS('Monthly Data'!L2:L229,'Monthly Data'!$A$2:$A$229,$A14)</f>
        <v>11222999</v>
      </c>
    </row>
    <row r="15" customFormat="false" ht="15" hidden="false" customHeight="false" outlineLevel="0" collapsed="false">
      <c r="A15" s="5" t="s">
        <v>41</v>
      </c>
      <c r="B15" s="5" t="s">
        <v>42</v>
      </c>
      <c r="C15" s="3" t="n">
        <f aca="false">SUMIFS('Monthly Data'!F2:F229,'Monthly Data'!$A$2:$A$229,$A15)</f>
        <v>5812</v>
      </c>
      <c r="D15" s="3" t="n">
        <f aca="false">SUMIFS('Monthly Data'!G2:G229,'Monthly Data'!$A$2:$A$229,$A15)</f>
        <v>825</v>
      </c>
      <c r="E15" s="3" t="n">
        <f aca="false">SUMIFS('Monthly Data'!H2:H229,'Monthly Data'!$A$2:$A$229,$A15)</f>
        <v>11835</v>
      </c>
      <c r="F15" s="3" t="n">
        <f aca="false">SUMIFS('Monthly Data'!I2:I229,'Monthly Data'!$A$2:$A$229,$A15)</f>
        <v>1654</v>
      </c>
      <c r="G15" s="3" t="n">
        <f aca="false">SUMIFS('Monthly Data'!J2:J229,'Monthly Data'!$A$2:$A$229,$A15)</f>
        <v>12024139</v>
      </c>
      <c r="H15" s="3" t="n">
        <f aca="false">SUMIFS('Monthly Data'!K2:K229,'Monthly Data'!$A$2:$A$229,$A15)</f>
        <v>1216134</v>
      </c>
      <c r="I15" s="3" t="n">
        <f aca="false">SUMIFS('Monthly Data'!L2:L229,'Monthly Data'!$A$2:$A$229,$A15)</f>
        <v>10808005</v>
      </c>
    </row>
    <row r="16" customFormat="false" ht="15" hidden="false" customHeight="false" outlineLevel="0" collapsed="false">
      <c r="A16" s="5" t="s">
        <v>43</v>
      </c>
      <c r="B16" s="5" t="s">
        <v>44</v>
      </c>
      <c r="C16" s="3" t="n">
        <f aca="false">SUMIFS('Monthly Data'!F2:F229,'Monthly Data'!$A$2:$A$229,$A16)</f>
        <v>24838</v>
      </c>
      <c r="D16" s="3" t="n">
        <f aca="false">SUMIFS('Monthly Data'!G2:G229,'Monthly Data'!$A$2:$A$229,$A16)</f>
        <v>2495</v>
      </c>
      <c r="E16" s="3" t="n">
        <f aca="false">SUMIFS('Monthly Data'!H2:H229,'Monthly Data'!$A$2:$A$229,$A16)</f>
        <v>56574</v>
      </c>
      <c r="F16" s="3" t="n">
        <f aca="false">SUMIFS('Monthly Data'!I2:I229,'Monthly Data'!$A$2:$A$229,$A16)</f>
        <v>4125</v>
      </c>
      <c r="G16" s="3" t="n">
        <f aca="false">SUMIFS('Monthly Data'!J2:J229,'Monthly Data'!$A$2:$A$229,$A16)</f>
        <v>29590144</v>
      </c>
      <c r="H16" s="3" t="n">
        <f aca="false">SUMIFS('Monthly Data'!K2:K229,'Monthly Data'!$A$2:$A$229,$A16)</f>
        <v>7596205</v>
      </c>
      <c r="I16" s="3" t="n">
        <f aca="false">SUMIFS('Monthly Data'!L2:L229,'Monthly Data'!$A$2:$A$229,$A16)</f>
        <v>21993939</v>
      </c>
    </row>
    <row r="17" customFormat="false" ht="15" hidden="false" customHeight="false" outlineLevel="0" collapsed="false">
      <c r="A17" s="5" t="s">
        <v>45</v>
      </c>
      <c r="B17" s="5" t="s">
        <v>46</v>
      </c>
      <c r="C17" s="3" t="n">
        <f aca="false">SUMIFS('Monthly Data'!F2:F229,'Monthly Data'!$A$2:$A$229,$A17)</f>
        <v>7108</v>
      </c>
      <c r="D17" s="3" t="n">
        <f aca="false">SUMIFS('Monthly Data'!G2:G229,'Monthly Data'!$A$2:$A$229,$A17)</f>
        <v>1080</v>
      </c>
      <c r="E17" s="3" t="n">
        <f aca="false">SUMIFS('Monthly Data'!H2:H229,'Monthly Data'!$A$2:$A$229,$A17)</f>
        <v>19181</v>
      </c>
      <c r="F17" s="3" t="n">
        <f aca="false">SUMIFS('Monthly Data'!I2:I229,'Monthly Data'!$A$2:$A$229,$A17)</f>
        <v>1642</v>
      </c>
      <c r="G17" s="3" t="n">
        <f aca="false">SUMIFS('Monthly Data'!J2:J229,'Monthly Data'!$A$2:$A$229,$A17)</f>
        <v>21387677</v>
      </c>
      <c r="H17" s="3" t="n">
        <f aca="false">SUMIFS('Monthly Data'!K2:K229,'Monthly Data'!$A$2:$A$229,$A17)</f>
        <v>1960176</v>
      </c>
      <c r="I17" s="3" t="n">
        <f aca="false">SUMIFS('Monthly Data'!L2:L229,'Monthly Data'!$A$2:$A$229,$A17)</f>
        <v>19427501</v>
      </c>
    </row>
    <row r="18" customFormat="false" ht="15" hidden="false" customHeight="false" outlineLevel="0" collapsed="false">
      <c r="A18" s="5" t="s">
        <v>47</v>
      </c>
      <c r="B18" s="5" t="s">
        <v>48</v>
      </c>
      <c r="C18" s="3" t="n">
        <f aca="false">SUMIFS('Monthly Data'!F2:F229,'Monthly Data'!$A$2:$A$229,$A18)</f>
        <v>8978</v>
      </c>
      <c r="D18" s="3" t="n">
        <f aca="false">SUMIFS('Monthly Data'!G2:G229,'Monthly Data'!$A$2:$A$229,$A18)</f>
        <v>793</v>
      </c>
      <c r="E18" s="3" t="n">
        <f aca="false">SUMIFS('Monthly Data'!H2:H229,'Monthly Data'!$A$2:$A$229,$A18)</f>
        <v>13378</v>
      </c>
      <c r="F18" s="3" t="n">
        <f aca="false">SUMIFS('Monthly Data'!I2:I229,'Monthly Data'!$A$2:$A$229,$A18)</f>
        <v>1808</v>
      </c>
      <c r="G18" s="3" t="n">
        <f aca="false">SUMIFS('Monthly Data'!J2:J229,'Monthly Data'!$A$2:$A$229,$A18)</f>
        <v>11841598</v>
      </c>
      <c r="H18" s="3" t="n">
        <f aca="false">SUMIFS('Monthly Data'!K2:K229,'Monthly Data'!$A$2:$A$229,$A18)</f>
        <v>1250586</v>
      </c>
      <c r="I18" s="3" t="n">
        <f aca="false">SUMIFS('Monthly Data'!L2:L229,'Monthly Data'!$A$2:$A$229,$A18)</f>
        <v>10591012</v>
      </c>
    </row>
    <row r="19" customFormat="false" ht="15" hidden="false" customHeight="false" outlineLevel="0" collapsed="false">
      <c r="A19" s="5" t="s">
        <v>49</v>
      </c>
      <c r="B19" s="5" t="s">
        <v>50</v>
      </c>
      <c r="C19" s="3" t="n">
        <f aca="false">SUMIFS('Monthly Data'!F2:F229,'Monthly Data'!$A$2:$A$229,$A19)</f>
        <v>20824</v>
      </c>
      <c r="D19" s="3" t="n">
        <f aca="false">SUMIFS('Monthly Data'!G2:G229,'Monthly Data'!$A$2:$A$229,$A19)</f>
        <v>1970</v>
      </c>
      <c r="E19" s="3" t="n">
        <f aca="false">SUMIFS('Monthly Data'!H2:H229,'Monthly Data'!$A$2:$A$229,$A19)</f>
        <v>47664</v>
      </c>
      <c r="F19" s="3" t="n">
        <f aca="false">SUMIFS('Monthly Data'!I2:I229,'Monthly Data'!$A$2:$A$229,$A19)</f>
        <v>5755</v>
      </c>
      <c r="G19" s="3" t="n">
        <f aca="false">SUMIFS('Monthly Data'!J2:J229,'Monthly Data'!$A$2:$A$229,$A19)</f>
        <v>34457172</v>
      </c>
      <c r="H19" s="3" t="n">
        <f aca="false">SUMIFS('Monthly Data'!K2:K229,'Monthly Data'!$A$2:$A$229,$A19)</f>
        <v>4592153</v>
      </c>
      <c r="I19" s="3" t="n">
        <f aca="false">SUMIFS('Monthly Data'!L2:L229,'Monthly Data'!$A$2:$A$229,$A19)</f>
        <v>29865019</v>
      </c>
    </row>
    <row r="20" customFormat="false" ht="15" hidden="false" customHeight="false" outlineLevel="0" collapsed="false">
      <c r="A20" s="5" t="s">
        <v>12</v>
      </c>
      <c r="B20" s="5" t="s">
        <v>13</v>
      </c>
      <c r="C20" s="3" t="n">
        <f aca="false">SUMIFS('Monthly Data'!F2:F229,'Monthly Data'!$A$2:$A$229,$A20)</f>
        <v>1968305</v>
      </c>
      <c r="D20" s="3" t="n">
        <f aca="false">SUMIFS('Monthly Data'!G2:G229,'Monthly Data'!$A$2:$A$229,$A20)</f>
        <v>419700</v>
      </c>
      <c r="E20" s="3" t="n">
        <f aca="false">SUMIFS('Monthly Data'!H2:H229,'Monthly Data'!$A$2:$A$229,$A20)</f>
        <v>3088829</v>
      </c>
      <c r="F20" s="3" t="n">
        <f aca="false">SUMIFS('Monthly Data'!I2:I229,'Monthly Data'!$A$2:$A$229,$A20)</f>
        <v>659566</v>
      </c>
      <c r="G20" s="3" t="n">
        <f aca="false">SUMIFS('Monthly Data'!J2:J229,'Monthly Data'!$A$2:$A$229,$A20)</f>
        <v>2489612884</v>
      </c>
      <c r="H20" s="3" t="n">
        <f aca="false">SUMIFS('Monthly Data'!K2:K229,'Monthly Data'!$A$2:$A$229,$A20)</f>
        <v>477750585</v>
      </c>
      <c r="I20" s="3" t="n">
        <f aca="false">SUMIFS('Monthly Data'!L2:L229,'Monthly Data'!$A$2:$A$229,$A20)</f>
        <v>2011862299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2026-07-30T07:07:33Z</dcterms:created>
  <dc:creator>openpyxl</dc:creator>
  <dc:description/>
  <dc:language>en-US</dc:language>
  <cp:lastModifiedBy/>
  <dcterms:modified xsi:type="dcterms:W3CDTF">2026-07-30T07:07:33Z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